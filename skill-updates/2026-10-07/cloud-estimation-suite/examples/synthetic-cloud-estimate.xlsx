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/>
  </mc:AlternateContent>
  <xr:revisionPtr revIDLastSave="0" documentId="13_ncr:1_{7488CA5D-1A4C-426F-B786-856B7CA0C0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0_Lisez-moi" sheetId="1" r:id="rId1"/>
    <sheet name="01_Hypotheses" sheetId="2" r:id="rId2"/>
    <sheet name="02_Inventaire" sheetId="3" r:id="rId3"/>
    <sheet name="03_Architecture" sheetId="4" r:id="rId4"/>
    <sheet name="04_Taches_JH" sheetId="5" r:id="rId5"/>
    <sheet name="05_Couts_cloud" sheetId="6" r:id="rId6"/>
    <sheet name="06_Scenarios" sheetId="7" r:id="rId7"/>
    <sheet name="07_Phasage" sheetId="8" r:id="rId8"/>
    <sheet name="08_Risques" sheetId="9" r:id="rId9"/>
    <sheet name="09_Arbitrages" sheetId="10" r:id="rId10"/>
    <sheet name="10_Sources" sheetId="11" r:id="rId11"/>
    <sheet name="11_Synthese" sheetId="12" r:id="rId12"/>
  </sheets>
  <definedNames>
    <definedName name="_xlnm.Print_Titles" localSheetId="0">'00_Lisez-moi'!$1:$4</definedName>
    <definedName name="_xlnm.Print_Titles" localSheetId="1">'01_Hypotheses'!$1:$4</definedName>
    <definedName name="_xlnm.Print_Titles" localSheetId="2">'02_Inventaire'!$1:$4</definedName>
    <definedName name="_xlnm.Print_Titles" localSheetId="3">'03_Architecture'!$1:$4</definedName>
    <definedName name="_xlnm.Print_Titles" localSheetId="4">'04_Taches_JH'!$1:$4</definedName>
    <definedName name="_xlnm.Print_Titles" localSheetId="5">'05_Couts_cloud'!$1:$4</definedName>
    <definedName name="_xlnm.Print_Titles" localSheetId="6">'06_Scenarios'!$1:$4</definedName>
    <definedName name="_xlnm.Print_Titles" localSheetId="7">'07_Phasage'!$1:$4</definedName>
    <definedName name="_xlnm.Print_Titles" localSheetId="8">'08_Risques'!$1:$4</definedName>
    <definedName name="_xlnm.Print_Titles" localSheetId="9">'09_Arbitrages'!$1:$4</definedName>
    <definedName name="_xlnm.Print_Titles" localSheetId="10">'10_Sources'!$1:$4</definedName>
    <definedName name="_xlnm.Print_Titles" localSheetId="11">'11_Synthese'!$1:$4</definedName>
    <definedName name="mois_par_an">'01_Hypotheses'!$B$7</definedName>
    <definedName name="scenario_global">'01_Hypotheses'!$B$5</definedName>
    <definedName name="taux_journalier">'01_Hypotheses'!$B$6</definedName>
  </definedNames>
  <calcPr calcId="181029" forceFullCalc="1"/>
</workbook>
</file>

<file path=xl/calcChain.xml><?xml version="1.0" encoding="utf-8"?>
<calcChain xmlns="http://schemas.openxmlformats.org/spreadsheetml/2006/main">
  <c r="B19" i="12" l="1"/>
  <c r="F6" i="8"/>
  <c r="F5" i="8"/>
  <c r="E14" i="7"/>
  <c r="C14" i="7"/>
  <c r="B14" i="7"/>
  <c r="E13" i="7"/>
  <c r="C13" i="7"/>
  <c r="B13" i="7"/>
  <c r="E12" i="7"/>
  <c r="C12" i="7"/>
  <c r="B12" i="7"/>
  <c r="E7" i="7"/>
  <c r="D7" i="7"/>
  <c r="C7" i="7"/>
  <c r="E6" i="7"/>
  <c r="D6" i="7"/>
  <c r="C6" i="7"/>
  <c r="E5" i="7"/>
  <c r="D5" i="7"/>
  <c r="C5" i="7"/>
  <c r="K31" i="6"/>
  <c r="L31" i="6" s="1"/>
  <c r="K30" i="6"/>
  <c r="L30" i="6" s="1"/>
  <c r="K29" i="6"/>
  <c r="B18" i="12" s="1"/>
  <c r="K28" i="6"/>
  <c r="L28" i="6" s="1"/>
  <c r="K27" i="6"/>
  <c r="L27" i="6" s="1"/>
  <c r="K26" i="6"/>
  <c r="L26" i="6" s="1"/>
  <c r="K25" i="6"/>
  <c r="L25" i="6" s="1"/>
  <c r="K24" i="6"/>
  <c r="L24" i="6" s="1"/>
  <c r="K23" i="6"/>
  <c r="L23" i="6" s="1"/>
  <c r="K22" i="6"/>
  <c r="L22" i="6" s="1"/>
  <c r="K21" i="6"/>
  <c r="L21" i="6" s="1"/>
  <c r="K20" i="6"/>
  <c r="B15" i="12" s="1"/>
  <c r="K19" i="6"/>
  <c r="L19" i="6" s="1"/>
  <c r="K18" i="6"/>
  <c r="L18" i="6" s="1"/>
  <c r="K17" i="6"/>
  <c r="L17" i="6" s="1"/>
  <c r="K16" i="6"/>
  <c r="L16" i="6" s="1"/>
  <c r="K15" i="6"/>
  <c r="L15" i="6" s="1"/>
  <c r="K14" i="6"/>
  <c r="L14" i="6" s="1"/>
  <c r="K13" i="6"/>
  <c r="L13" i="6" s="1"/>
  <c r="K12" i="6"/>
  <c r="L12" i="6" s="1"/>
  <c r="K11" i="6"/>
  <c r="L11" i="6" s="1"/>
  <c r="K10" i="6"/>
  <c r="L10" i="6" s="1"/>
  <c r="K9" i="6"/>
  <c r="L9" i="6" s="1"/>
  <c r="K8" i="6"/>
  <c r="B11" i="12" s="1"/>
  <c r="K7" i="6"/>
  <c r="L7" i="6" s="1"/>
  <c r="K6" i="6"/>
  <c r="L6" i="6" s="1"/>
  <c r="K5" i="6"/>
  <c r="B10" i="12" s="1"/>
  <c r="O14" i="5"/>
  <c r="Q14" i="5" s="1"/>
  <c r="O13" i="5"/>
  <c r="Q13" i="5" s="1"/>
  <c r="O12" i="5"/>
  <c r="Q12" i="5" s="1"/>
  <c r="O11" i="5"/>
  <c r="Q11" i="5" s="1"/>
  <c r="O10" i="5"/>
  <c r="Q10" i="5" s="1"/>
  <c r="O9" i="5"/>
  <c r="Q9" i="5" s="1"/>
  <c r="O8" i="5"/>
  <c r="Q8" i="5" s="1"/>
  <c r="O7" i="5"/>
  <c r="Q7" i="5" s="1"/>
  <c r="O6" i="5"/>
  <c r="Q6" i="5" s="1"/>
  <c r="O5" i="5"/>
  <c r="Q5" i="5" s="1"/>
  <c r="B38" i="2"/>
  <c r="B37" i="2"/>
  <c r="B33" i="2"/>
  <c r="B30" i="2"/>
  <c r="B27" i="2"/>
  <c r="B23" i="2"/>
  <c r="D13" i="7" l="1"/>
  <c r="F13" i="7" s="1"/>
  <c r="B44" i="2" s="1"/>
  <c r="B39" i="2"/>
  <c r="E7" i="8"/>
  <c r="D7" i="8"/>
  <c r="B9" i="12"/>
  <c r="B7" i="12"/>
  <c r="F7" i="8"/>
  <c r="B8" i="12"/>
  <c r="B10" i="2"/>
  <c r="B6" i="12"/>
  <c r="B5" i="12"/>
  <c r="E5" i="8"/>
  <c r="D5" i="8"/>
  <c r="E6" i="8"/>
  <c r="D6" i="8"/>
  <c r="B12" i="12"/>
  <c r="L8" i="6"/>
  <c r="L20" i="6"/>
  <c r="B13" i="12"/>
  <c r="B14" i="12"/>
  <c r="L5" i="6"/>
  <c r="L29" i="6"/>
  <c r="D12" i="7"/>
  <c r="F12" i="7" s="1"/>
  <c r="B43" i="2" s="1"/>
  <c r="B16" i="12"/>
  <c r="D14" i="7"/>
  <c r="F14" i="7" s="1"/>
  <c r="B45" i="2" s="1"/>
  <c r="B17" i="12"/>
</calcChain>
</file>

<file path=xl/sharedStrings.xml><?xml version="1.0" encoding="utf-8"?>
<sst xmlns="http://schemas.openxmlformats.org/spreadsheetml/2006/main" count="1043" uniqueCount="470">
  <si>
    <t>Lisez-moi</t>
  </si>
  <si>
    <t>Donnees generiques. Effort en JH ; Build ponctuel et Run en JH/mois. Cout par fournisseur alternatif ; ne pas additionner les alternatives. Bleu : saisies, noir : calculs, vert : liens, jaune : hypotheses a confirmer.</t>
  </si>
  <si>
    <t>Cle</t>
  </si>
  <si>
    <t>Valeur</t>
  </si>
  <si>
    <t>title</t>
  </si>
  <si>
    <t>Synthetic web service estimate</t>
  </si>
  <si>
    <t>date</t>
  </si>
  <si>
    <t>2026-10-07</t>
  </si>
  <si>
    <t>currency</t>
  </si>
  <si>
    <t>EUR</t>
  </si>
  <si>
    <t>effort_unit</t>
  </si>
  <si>
    <t>JH</t>
  </si>
  <si>
    <t>notes</t>
  </si>
  <si>
    <t>Entirely synthetic public acceptance example, not a quote. Standard selected; Provider A is a provisional illustration. Build JH and Run JH/month are separate. Provider alternatives must not be added. Forecast FinOps savings require measurement. Kubernetes: Non applicable after suitability review; managed runtime selected. Taxes, discounts, FX and growth excluded; non-cloud OPEX assumed zero. Capacity overloads and delivery overload remain open; this is not an approved production design.</t>
  </si>
  <si>
    <t>Hypotheses</t>
  </si>
  <si>
    <t>Scenario global et facteurs editables. Les prix synthetiques doivent etre remplaces par des sources datees.</t>
  </si>
  <si>
    <t>Hypothese</t>
  </si>
  <si>
    <t>Unite</t>
  </si>
  <si>
    <t>Statut</t>
  </si>
  <si>
    <t>Source</t>
  </si>
  <si>
    <t>Notes</t>
  </si>
  <si>
    <t>scenario_global</t>
  </si>
  <si>
    <t>Standard</t>
  </si>
  <si>
    <t>scenario</t>
  </si>
  <si>
    <t>Confirme</t>
  </si>
  <si>
    <t>SYN-01</t>
  </si>
  <si>
    <t>Global scenario; task overrides take precedence.</t>
  </si>
  <si>
    <t>taux_journalier</t>
  </si>
  <si>
    <t>EUR/JH</t>
  </si>
  <si>
    <t>A confirmer</t>
  </si>
  <si>
    <t>Illustrative rate; replace before a real estimate.</t>
  </si>
  <si>
    <t>mois_par_an</t>
  </si>
  <si>
    <t>mois/an</t>
  </si>
  <si>
    <t>Annualisation factor.</t>
  </si>
  <si>
    <t>hours_per_jh</t>
  </si>
  <si>
    <t>h/JH</t>
  </si>
  <si>
    <t>Editable convention; task estimates already in JH.</t>
  </si>
  <si>
    <t>schedule.foundation_available</t>
  </si>
  <si>
    <t>Period 1; collective capacity across Foundation roles, not per-role capacity. Owner: delivery lead. Dependency TASK-01 before TASK-02/09/10; individual role availability remains unverified.</t>
  </si>
  <si>
    <t>schedule.foundation_overload</t>
  </si>
  <si>
    <t>Dynamic formula: Foundation Build minus available JH; positive = overload, DEC-SCHEDULE.</t>
  </si>
  <si>
    <t>capacity.production.Standard.base.cpu</t>
  </si>
  <si>
    <t>vCPU</t>
  </si>
  <si>
    <t>Assumed aligned CPU demand; independent service scenario and workload band.</t>
  </si>
  <si>
    <t>capacity.production.Standard.high.cpu</t>
  </si>
  <si>
    <t>Assumed high-band CPU demand, not a benchmark.</t>
  </si>
  <si>
    <t>capacity.production.Standard.base.memory</t>
  </si>
  <si>
    <t>GiB</t>
  </si>
  <si>
    <t>Synthetic working-set demand; per runtime unit 8 GiB.</t>
  </si>
  <si>
    <t>capacity.production.Standard.base.storage_gib</t>
  </si>
  <si>
    <t>Shared usable data demand; backend capacity 200 GiB, not replica-scaled.</t>
  </si>
  <si>
    <t>capacity.production.Standard.base.iops</t>
  </si>
  <si>
    <t>operations/s</t>
  </si>
  <si>
    <t>Shared backend assumed effective 2000 operations/s; latency/mix unmeasured.</t>
  </si>
  <si>
    <t>capacity.production.Standard.base.bandwidth</t>
  </si>
  <si>
    <t>Mbit/s</t>
  </si>
  <si>
    <t>Shared link assumed 200 Mbit/s effective; egress envelope is separate pricing.</t>
  </si>
  <si>
    <t>capacity.production.Standard.base.concurrency</t>
  </si>
  <si>
    <t>requests</t>
  </si>
  <si>
    <t>Runtime assumed safe 100 concurrent requests/unit; no throughput inferred.</t>
  </si>
  <si>
    <t>capacity.production.Standard.base.utilisation_target</t>
  </si>
  <si>
    <t>ratio</t>
  </si>
  <si>
    <t>CPU/memory/concurrency target, includes headroom; shared backend requires independent checks.</t>
  </si>
  <si>
    <t>capacity.production.Standard.base.scaling_limit</t>
  </si>
  <si>
    <t>instances</t>
  </si>
  <si>
    <t>Hypothetical ceiling; does not make high-band demand feasible.</t>
  </si>
  <si>
    <t>capacity.production.Standard.base.failure_domain_reserve</t>
  </si>
  <si>
    <t>One runtime loss; does not prove zone/region DR.</t>
  </si>
  <si>
    <t>capacity.production.Standard.cpu_per_unit</t>
  </si>
  <si>
    <t>vCPU/instance</t>
  </si>
  <si>
    <t>Effective capacity assumption, not hardware specification.</t>
  </si>
  <si>
    <t>capacity.production.Standard.units</t>
  </si>
  <si>
    <t>Standard runtime count corresponds to COMP-03 and Provider A Standard cost quantity.</t>
  </si>
  <si>
    <t>capacity.production.Standard.high.overload_ratio</t>
  </si>
  <si>
    <t>Dynamic: high demand / effective CPU at target; &gt;1 infeasible. Other dimensions and failure event require measurement.</t>
  </si>
  <si>
    <t>contradiction.old_units</t>
  </si>
  <si>
    <t>SYN-02 older single-replica statement; same workload scope.</t>
  </si>
  <si>
    <t>contradiction.selected_units</t>
  </si>
  <si>
    <t>SYN-03 later resilience requirement; provisional selected branch in DEC-CONFLICT.</t>
  </si>
  <si>
    <t>contradiction.unit_price</t>
  </si>
  <si>
    <t>EUR/instance/month</t>
  </si>
  <si>
    <t>Provider A synthetic unit price; not an official tariff.</t>
  </si>
  <si>
    <t>contradiction.cloud_delta</t>
  </si>
  <si>
    <t>EUR/mois</t>
  </si>
  <si>
    <t>Dynamic selected minus old runtime cost; excludes common envelope/non-production.</t>
  </si>
  <si>
    <t>contradiction.build_old</t>
  </si>
  <si>
    <t>Single-replica infrastructure branch; mutually exclusive, not included as another task.</t>
  </si>
  <si>
    <t>contradiction.build_selected</t>
  </si>
  <si>
    <t>Selected infrastructure branch equals TASK-01 Standard net JH.</t>
  </si>
  <si>
    <t>contradiction.build_delta</t>
  </si>
  <si>
    <t>Dynamic selected minus old Build.</t>
  </si>
  <si>
    <t>contradiction.run_old</t>
  </si>
  <si>
    <t>JH/mois</t>
  </si>
  <si>
    <t>Old branch monthly operations forecast.</t>
  </si>
  <si>
    <t>contradiction.run_selected</t>
  </si>
  <si>
    <t>Selected monthly operations equals TASK-06 Standard.</t>
  </si>
  <si>
    <t>contradiction.run_delta</t>
  </si>
  <si>
    <t>Dynamic selected minus old monthly Run.</t>
  </si>
  <si>
    <t>finops.baseline</t>
  </si>
  <si>
    <t>Forecast: Development and Staging always-on, two units at Provider A price. No measured billing.</t>
  </si>
  <si>
    <t>finops.savings_low_fraction</t>
  </si>
  <si>
    <t>Conservative forecast; retains on-demand wakeup.</t>
  </si>
  <si>
    <t>finops.savings_high_fraction</t>
  </si>
  <si>
    <t>Selected illustrative schedule; recurring costs already include this schedule, do not subtract savings twice.</t>
  </si>
  <si>
    <t>finops.savings_low</t>
  </si>
  <si>
    <t>Dynamic baseline times low saving fraction.</t>
  </si>
  <si>
    <t>finops.savings_high</t>
  </si>
  <si>
    <t>Dynamic baseline times high saving fraction.</t>
  </si>
  <si>
    <t>finops.savings_selected</t>
  </si>
  <si>
    <t>Dynamic baseline minus scheduled Provider A Standard non-production charges.</t>
  </si>
  <si>
    <t>tco_horizon_years</t>
  </si>
  <si>
    <t>years</t>
  </si>
  <si>
    <t>Equal scope and constant demand; taxes, FX, discounts and growth excluded.</t>
  </si>
  <si>
    <t>non_cloud_opex</t>
  </si>
  <si>
    <t>Explicit synthetic absence, not an unknown represented as zero.</t>
  </si>
  <si>
    <t>comparison_scenario</t>
  </si>
  <si>
    <t>Same reference scenario for all provider TCOs; independent of scenario_global, task overrides still apply.</t>
  </si>
  <si>
    <t>tco.ProviderA.Standard</t>
  </si>
  <si>
    <t>EUR/3years</t>
  </si>
  <si>
    <t>Dynamic selected Build plus 36 months of human Run, Provider A Standard cloud and non-cloud OPEX; alternatives never added.</t>
  </si>
  <si>
    <t>tco.ProviderB.Standard</t>
  </si>
  <si>
    <t>Dynamic same-perimeter Provider B comparison; Build, human Run, cloud and horizon remain separate in Scenarios.</t>
  </si>
  <si>
    <t>tco.ProviderC.Standard</t>
  </si>
  <si>
    <t>Dynamic same-perimeter Provider C comparison; alternatives never added.</t>
  </si>
  <si>
    <t>region_eligibility</t>
  </si>
  <si>
    <t>A/B/C: hypothetical single-region eligibility; multi-region DR unverified</t>
  </si>
  <si>
    <t>scope</t>
  </si>
  <si>
    <t>No real provider or regional suitability claim.</t>
  </si>
  <si>
    <t>commercial_policy</t>
  </si>
  <si>
    <t>No commitments, same currency, invented prices, no discounts</t>
  </si>
  <si>
    <t>Runtime quotes and region eligibility required before approval.</t>
  </si>
  <si>
    <t>weighted_criteria</t>
  </si>
  <si>
    <t>Operational fit 50%, recovery evidence 30%, TCO 20%; unscored until evidence</t>
  </si>
  <si>
    <t>No invented suitability scores.</t>
  </si>
  <si>
    <t>source_write_policy</t>
  </si>
  <si>
    <t>owner-only</t>
  </si>
  <si>
    <t>policy</t>
  </si>
  <si>
    <t>Synthetic migration; generator performs no source/environment mutations.</t>
  </si>
  <si>
    <t>Inventaire</t>
  </si>
  <si>
    <t>Inventaire generique des composants et environnements.</t>
  </si>
  <si>
    <t>ID</t>
  </si>
  <si>
    <t>Composant</t>
  </si>
  <si>
    <t>Environnement</t>
  </si>
  <si>
    <t>Quantite</t>
  </si>
  <si>
    <t>COMP-01</t>
  </si>
  <si>
    <t>Web service</t>
  </si>
  <si>
    <t>Development</t>
  </si>
  <si>
    <t>service</t>
  </si>
  <si>
    <t>Synthetic development workload.</t>
  </si>
  <si>
    <t>COMP-02</t>
  </si>
  <si>
    <t>Staging</t>
  </si>
  <si>
    <t>Synthetic validation workload.</t>
  </si>
  <si>
    <t>COMP-03</t>
  </si>
  <si>
    <t>Production</t>
  </si>
  <si>
    <t>replica</t>
  </si>
  <si>
    <t>Synthetic runtime workload.</t>
  </si>
  <si>
    <t>COMP-04</t>
  </si>
  <si>
    <t>Managed data and platform services</t>
  </si>
  <si>
    <t>platform envelope</t>
  </si>
  <si>
    <t>Usable data, backups, network/egress, logging, registry/build and support; synthetic envelope pricing, not a SKU quote.</t>
  </si>
  <si>
    <t>Architecture</t>
  </si>
  <si>
    <t>Options d'architecture et decisions techniques a justifier.</t>
  </si>
  <si>
    <t>Type</t>
  </si>
  <si>
    <t>Fournisseur</t>
  </si>
  <si>
    <t>Decision</t>
  </si>
  <si>
    <t>ARCH-01</t>
  </si>
  <si>
    <t>Managed application</t>
  </si>
  <si>
    <t>Provider A</t>
  </si>
  <si>
    <t>Managed runtime</t>
  </si>
  <si>
    <t>Provisional Standard: two runtime replicas. Economique: one, Resilient: three. High workload overload remains open. See DEC-CONFLICT and capacity assumptions.</t>
  </si>
  <si>
    <t>ARCH-02</t>
  </si>
  <si>
    <t>Managed backend</t>
  </si>
  <si>
    <t>Managed backend, separate shared capacity</t>
  </si>
  <si>
    <t>COMP-04; shared data capacity is not multiplied by runtime replicas. Backup and restore evidence required.</t>
  </si>
  <si>
    <t>Diagram nodes</t>
  </si>
  <si>
    <t>Zone</t>
  </si>
  <si>
    <t>Application</t>
  </si>
  <si>
    <t>Data</t>
  </si>
  <si>
    <t>Diagram flows</t>
  </si>
  <si>
    <t>Destination</t>
  </si>
  <si>
    <t>Flux</t>
  </si>
  <si>
    <t>FLOW-01</t>
  </si>
  <si>
    <t>HTTPS (SYN-03)</t>
  </si>
  <si>
    <t>Icon provenance</t>
  </si>
  <si>
    <t>Source officielle</t>
  </si>
  <si>
    <t>Licence / marque</t>
  </si>
  <si>
    <t>Fichier</t>
  </si>
  <si>
    <t>SHA-256</t>
  </si>
  <si>
    <t>provider-neutral</t>
  </si>
  <si>
    <t>Original neutral labelled symbols</t>
  </si>
  <si>
    <t>Diagram manifest</t>
  </si>
  <si>
    <t>JSON</t>
  </si>
  <si>
    <t>{"edge_ids": ["FLOW-01"], "icon_provenance": [], "icon_sources": ["provider-neutral"], "node_ids": ["COMP-01", "COMP-02", "COMP-03", "COMP-04"], "output_hashes": {"png": "e0e2ec9c8c883554d77b86ce2bf5b328b61887fce74c656004457b9ae0aa4bf2", "svg": "24f1d21beb26437d7654dcddffaf415355f953121602a68fd44cdb12ef2c2150"}, "warnings": []}</t>
  </si>
  <si>
    <t>Taches_JH</t>
  </si>
  <si>
    <t>Estimations en JH. Economique = bas, Standard = probable, Resilient = haut. Override local prioritaire ; Build et Run se lisent separement.</t>
  </si>
  <si>
    <t>Lot</t>
  </si>
  <si>
    <t>Domaine</t>
  </si>
  <si>
    <t>Tache</t>
  </si>
  <si>
    <t>Livrable</t>
  </si>
  <si>
    <t>Role</t>
  </si>
  <si>
    <t>Prerequis</t>
  </si>
  <si>
    <t>Dependances</t>
  </si>
  <si>
    <t>Critere d'acceptation</t>
  </si>
  <si>
    <t>Preuve attendue</t>
  </si>
  <si>
    <t>JH bas</t>
  </si>
  <si>
    <t>JH probable</t>
  </si>
  <si>
    <t>JH haut</t>
  </si>
  <si>
    <t>Scenario retenu</t>
  </si>
  <si>
    <t>Scenario override</t>
  </si>
  <si>
    <t>JH retenu</t>
  </si>
  <si>
    <t>Nature</t>
  </si>
  <si>
    <t>Couverture</t>
  </si>
  <si>
    <t>Confiance</t>
  </si>
  <si>
    <t>TASK-01</t>
  </si>
  <si>
    <t>Foundation</t>
  </si>
  <si>
    <t>infrastructure</t>
  </si>
  <si>
    <t>Provision isolated environments</t>
  </si>
  <si>
    <t>Infrastructure definitions</t>
  </si>
  <si>
    <t>All</t>
  </si>
  <si>
    <t>Platform engineer</t>
  </si>
  <si>
    <t>Approved inventory</t>
  </si>
  <si>
    <t>Three environments provisioned</t>
  </si>
  <si>
    <t>Deployment report</t>
  </si>
  <si>
    <t>Build</t>
  </si>
  <si>
    <t>Partial, evidenced synthetic coverage</t>
  </si>
  <si>
    <t>Medium</t>
  </si>
  <si>
    <t>Gross 3/4/6 JH; covered 1/1/1 JH (SYN-02); net 2/3/5 JH. One canonical owner; no aliases.</t>
  </si>
  <si>
    <t>TASK-02</t>
  </si>
  <si>
    <t>server-hardening</t>
  </si>
  <si>
    <t>Apply security baseline</t>
  </si>
  <si>
    <t>Baseline policy</t>
  </si>
  <si>
    <t>Security engineer</t>
  </si>
  <si>
    <t>Environments available</t>
  </si>
  <si>
    <t>Baseline checks pass</t>
  </si>
  <si>
    <t>Control report</t>
  </si>
  <si>
    <t>Resilient</t>
  </si>
  <si>
    <t>Full</t>
  </si>
  <si>
    <t>Explicit task override.</t>
  </si>
  <si>
    <t>TASK-03</t>
  </si>
  <si>
    <t>Delivery</t>
  </si>
  <si>
    <t>cicd-devsecops</t>
  </si>
  <si>
    <t>Configure delivery pipeline</t>
  </si>
  <si>
    <t>Pipeline definitions</t>
  </si>
  <si>
    <t>Delivery engineer</t>
  </si>
  <si>
    <t>Source repository</t>
  </si>
  <si>
    <t>Promote and rollback demonstrated</t>
  </si>
  <si>
    <t>Pipeline run</t>
  </si>
  <si>
    <t>Synthetic task.</t>
  </si>
  <si>
    <t>TASK-04</t>
  </si>
  <si>
    <t>hosting-capacity</t>
  </si>
  <si>
    <t>Validate runtime capacity</t>
  </si>
  <si>
    <t>Capacity report</t>
  </si>
  <si>
    <t>Performance engineer</t>
  </si>
  <si>
    <t>Deployable service</t>
  </si>
  <si>
    <t>Staging harness records base/high CPU, memory, storage, IOPS, bandwidth and concurrency; verify target and overload before approval</t>
  </si>
  <si>
    <t>Synthetic load assumptions now; measured traces, latency percentiles and saturation report required for approval</t>
  </si>
  <si>
    <t>Low</t>
  </si>
  <si>
    <t>Capacity target to confirm.</t>
  </si>
  <si>
    <t>TASK-05</t>
  </si>
  <si>
    <t>Operations</t>
  </si>
  <si>
    <t>cloud-migration</t>
  </si>
  <si>
    <t>Rehearse service transition</t>
  </si>
  <si>
    <t>Transition runbook</t>
  </si>
  <si>
    <t>Validation complete</t>
  </si>
  <si>
    <t>TASK-02, TASK-04</t>
  </si>
  <si>
    <t>Recovery demonstrated</t>
  </si>
  <si>
    <t>Rehearsal record</t>
  </si>
  <si>
    <t>Synthetic transition only. Preparation, transfer, integrity, cutover, rollback and owner-only decommissioning in runbook; hypercare is a separate recurring operation. No live source access.</t>
  </si>
  <si>
    <t>TASK-06</t>
  </si>
  <si>
    <t>finops</t>
  </si>
  <si>
    <t>Review recurring usage</t>
  </si>
  <si>
    <t>Usage review</t>
  </si>
  <si>
    <t>Operations engineer</t>
  </si>
  <si>
    <t>Usage evidence</t>
  </si>
  <si>
    <t>Waste actions recorded</t>
  </si>
  <si>
    <t>Monthly review</t>
  </si>
  <si>
    <t>Run</t>
  </si>
  <si>
    <t>Recurring effort in JH/month; kept separate from Build.</t>
  </si>
  <si>
    <t>TASK-07</t>
  </si>
  <si>
    <t>Schedule non-production runtime</t>
  </si>
  <si>
    <t>Reversible schedule</t>
  </si>
  <si>
    <t>Forecast; compare metered usage before/after at equal scope; restore always-on schedule on validation failure</t>
  </si>
  <si>
    <t>Reversible schedule with SYN-01 assumptions</t>
  </si>
  <si>
    <t>Synthetic net additional Build; one owner and no duplicate deliverable.</t>
  </si>
  <si>
    <t>TASK-08</t>
  </si>
  <si>
    <t>architecture-diagram</t>
  </si>
  <si>
    <t>Reconcile inventory and explicit flows</t>
  </si>
  <si>
    <t>Embedded diagram and flow register</t>
  </si>
  <si>
    <t>Each node matches inventory; HTTPS edge matches SYN-03; no inferred connection</t>
  </si>
  <si>
    <t>Embedded diagram and flow register with SYN-01 assumptions</t>
  </si>
  <si>
    <t>TASK-09</t>
  </si>
  <si>
    <t>cloud-architecture</t>
  </si>
  <si>
    <t>Resolve managed runtime versus cluster suitability</t>
  </si>
  <si>
    <t>Architecture decision</t>
  </si>
  <si>
    <t>Confirm application isolation, backup and recovery evidence; cluster work excluded because no platform requirement</t>
  </si>
  <si>
    <t>Architecture decision with SYN-01 assumptions</t>
  </si>
  <si>
    <t>TASK-10</t>
  </si>
  <si>
    <t>provider-selection</t>
  </si>
  <si>
    <t>Compare equal service scope and three-year TCO</t>
  </si>
  <si>
    <t>Provider comparison</t>
  </si>
  <si>
    <t>Nine equal-scope alternatives, regional eligibility remains hypothetical; do not approve without official dated quotes</t>
  </si>
  <si>
    <t>Provider comparison with SYN-01 assumptions</t>
  </si>
  <si>
    <t>Couts_cloud</t>
  </si>
  <si>
    <t>Coûts recurrents par option fournisseur et scenario ; tarifs synthetiques non contractuels. Le multiplicateur convertit l'unite en mois.</t>
  </si>
  <si>
    <t>Service</t>
  </si>
  <si>
    <t>Scenario</t>
  </si>
  <si>
    <t>Prix unitaire (EUR)</t>
  </si>
  <si>
    <t>Devise</t>
  </si>
  <si>
    <t>Multiplicateur mensuel</t>
  </si>
  <si>
    <t>Cout mensuel (EUR)</t>
  </si>
  <si>
    <t>Cout annuel (EUR)</t>
  </si>
  <si>
    <t>Statut prix</t>
  </si>
  <si>
    <t>COST-01</t>
  </si>
  <si>
    <t>Economique</t>
  </si>
  <si>
    <t>unit/month</t>
  </si>
  <si>
    <t>Synthetic forecast only; same service perimeter, alternative provider. Replace envelope by verified SKU breakdown before real use.</t>
  </si>
  <si>
    <t>COST-02</t>
  </si>
  <si>
    <t>Managed runtime scheduled (Development + Staging)</t>
  </si>
  <si>
    <t>Non-production</t>
  </si>
  <si>
    <t>COST-03</t>
  </si>
  <si>
    <t>Managed data, backups, network/egress, logging, build/registry, support</t>
  </si>
  <si>
    <t>COST-04</t>
  </si>
  <si>
    <t>COST-05</t>
  </si>
  <si>
    <t>COST-06</t>
  </si>
  <si>
    <t>COST-07</t>
  </si>
  <si>
    <t>COST-08</t>
  </si>
  <si>
    <t>COST-09</t>
  </si>
  <si>
    <t>COST-10</t>
  </si>
  <si>
    <t>Provider B</t>
  </si>
  <si>
    <t>COST-11</t>
  </si>
  <si>
    <t>COST-12</t>
  </si>
  <si>
    <t>COST-13</t>
  </si>
  <si>
    <t>COST-14</t>
  </si>
  <si>
    <t>COST-15</t>
  </si>
  <si>
    <t>COST-16</t>
  </si>
  <si>
    <t>COST-17</t>
  </si>
  <si>
    <t>COST-18</t>
  </si>
  <si>
    <t>COST-19</t>
  </si>
  <si>
    <t>Provider C</t>
  </si>
  <si>
    <t>COST-20</t>
  </si>
  <si>
    <t>COST-21</t>
  </si>
  <si>
    <t>COST-22</t>
  </si>
  <si>
    <t>COST-23</t>
  </si>
  <si>
    <t>COST-24</t>
  </si>
  <si>
    <t>COST-25</t>
  </si>
  <si>
    <t>COST-26</t>
  </si>
  <si>
    <t>COST-27</t>
  </si>
  <si>
    <t>Scenarios</t>
  </si>
  <si>
    <t>Comparaison sans overrides locaux. Le rapprochement technique additionne JH Build et JH Run/mois, des unites incompatibles : utilisation budgetaire interdite.</t>
  </si>
  <si>
    <t>Description</t>
  </si>
  <si>
    <t>Rapprochement technique (non budgetaire)</t>
  </si>
  <si>
    <t>JH Build</t>
  </si>
  <si>
    <t>JH Run/mois</t>
  </si>
  <si>
    <t>Minimum suitable scope</t>
  </si>
  <si>
    <t>Uses low JH.</t>
  </si>
  <si>
    <t>Expected delivery scope</t>
  </si>
  <si>
    <t>Uses likely JH.</t>
  </si>
  <si>
    <t>Higher resilience and uncertainty</t>
  </si>
  <si>
    <t>Uses high JH.</t>
  </si>
  <si>
    <t>Comparaison fournisseurs - scenario de reference et horizon dans Hypotheses</t>
  </si>
  <si>
    <t>Build (JH)</t>
  </si>
  <si>
    <t>Run humain (JH/mois)</t>
  </si>
  <si>
    <t>Cloud (EUR/mois)</t>
  </si>
  <si>
    <t>Horizon (annees)</t>
  </si>
  <si>
    <t>TCO (EUR)</t>
  </si>
  <si>
    <t>Phasage</t>
  </si>
  <si>
    <t>Lots et jalons. Le rapprochement technique additionne JH Build et JH Run/mois, des unites incompatibles : utilisation budgetaire interdite.</t>
  </si>
  <si>
    <t>Phase</t>
  </si>
  <si>
    <t>Sequence</t>
  </si>
  <si>
    <t>Jalon</t>
  </si>
  <si>
    <t>Environments ready</t>
  </si>
  <si>
    <t>Baseline before delivery.</t>
  </si>
  <si>
    <t>Service validated</t>
  </si>
  <si>
    <t>Capacity before transition.</t>
  </si>
  <si>
    <t>Transition complete</t>
  </si>
  <si>
    <t>Run effort displayed separately.</t>
  </si>
  <si>
    <t>Risques</t>
  </si>
  <si>
    <t>Incertitudes, impacts et actions de reduction du risque.</t>
  </si>
  <si>
    <t>Risque</t>
  </si>
  <si>
    <t>Impact</t>
  </si>
  <si>
    <t>Probabilite</t>
  </si>
  <si>
    <t>Mitigation</t>
  </si>
  <si>
    <t>Responsable</t>
  </si>
  <si>
    <t>RISK-01</t>
  </si>
  <si>
    <t>Unknown traffic profile</t>
  </si>
  <si>
    <t>Capacity assumptions may change</t>
  </si>
  <si>
    <t>Measure representative load</t>
  </si>
  <si>
    <t>Open</t>
  </si>
  <si>
    <t>RISK-OVERLOAD</t>
  </si>
  <si>
    <t>High workload CPU exceeds Standard target capacity</t>
  </si>
  <si>
    <t>Service target infeasible at high band; limited scaling and failure reserve</t>
  </si>
  <si>
    <t>Assumed</t>
  </si>
  <si>
    <t>TASK-04 measurement; revisit replicas, quotas and placement before approval</t>
  </si>
  <si>
    <t>RISK-SCHEDULE</t>
  </si>
  <si>
    <t>Foundation delivery overload</t>
  </si>
  <si>
    <t>Dependent delivery cannot meet provisional period</t>
  </si>
  <si>
    <t>Certain under forecast</t>
  </si>
  <si>
    <t>DEC-SCHEDULE; role owner replans capacity before approval</t>
  </si>
  <si>
    <t>RISK-FINOPS</t>
  </si>
  <si>
    <t>Scheduled runtime unavailable during unplanned testing</t>
  </si>
  <si>
    <t>Wakeup delay</t>
  </si>
  <si>
    <t>Retain on-demand wakeup and reversible always-on schedule</t>
  </si>
  <si>
    <t>Arbitrages</t>
  </si>
  <si>
    <t>Decisions explicites et hypotheses a confirmer.</t>
  </si>
  <si>
    <t>Question</t>
  </si>
  <si>
    <t>Option</t>
  </si>
  <si>
    <t>Justification</t>
  </si>
  <si>
    <t>DEC-01</t>
  </si>
  <si>
    <t>Runtime hosting option</t>
  </si>
  <si>
    <t>Reduce operational burden</t>
  </si>
  <si>
    <t>DEC-CONFLICT</t>
  </si>
  <si>
    <t>SYN-02 single replica conflicts with SYN-03 two replicas</t>
  </si>
  <si>
    <t>Provisional two-replica branch</t>
  </si>
  <si>
    <t>Owner: architecture lead; resolve before design approval. See contradiction.* calculation cells for Build, monthly Run and cloud deltas. Single-replica branch accepts outage; only selected branch enters tasks. All three service scenarios keep the same perimeter.</t>
  </si>
  <si>
    <t>Provisional</t>
  </si>
  <si>
    <t>SYN-02; SYN-03</t>
  </si>
  <si>
    <t>DEC-FINOPS</t>
  </si>
  <si>
    <t>Reduce forecast non-production idle costs</t>
  </si>
  <si>
    <t>Reversible 50% runtime scheduling forecast</t>
  </si>
  <si>
    <t>Savings range and selected saving are dynamic finops.* cells. TASK-07 Build and TASK-06 monthly Run. Roll back schedule if wakeup affects testing; meter usage before/after at equal scope. Savings unvalidated; scheduled cost already reflects them.</t>
  </si>
  <si>
    <t>Forecast, unvalidated</t>
  </si>
  <si>
    <t>DEC-ARCH</t>
  </si>
  <si>
    <t>Managed runtime or Kubernetes platform</t>
  </si>
  <si>
    <t>Managed runtime and shared managed backend</t>
  </si>
  <si>
    <t>No cluster requirement in this synthetic scope; Kubernetes work Non applicable. Retain application isolation and restore evidence; managed runtime reduces platform ownership, operator monthly Run remains explicit.</t>
  </si>
  <si>
    <t>DEC-SCHEDULE</t>
  </si>
  <si>
    <t>Foundation Build exceeds Period 1 capacity</t>
  </si>
  <si>
    <t>Move dependent Foundation work into another period before approval</t>
  </si>
  <si>
    <t>Dynamic schedule.foundation_overload compares all Foundation Build with collective capacity, not a per-role budget. Delivery lead must confirm collective and individual role availability; subsequent periods cannot start before prerequisites. No approved calendar until overload is resolved.</t>
  </si>
  <si>
    <t>Sources</t>
  </si>
  <si>
    <t>References datees ; les exemples synthetiques ne constituent pas des tarifs de marche.</t>
  </si>
  <si>
    <t>Titre</t>
  </si>
  <si>
    <t>Date</t>
  </si>
  <si>
    <t>URL</t>
  </si>
  <si>
    <t>Synthetic public assumptions</t>
  </si>
  <si>
    <t>Synthetic</t>
  </si>
  <si>
    <t>No client data and no live tariff claims.</t>
  </si>
  <si>
    <t>SYN-02</t>
  </si>
  <si>
    <t>Earlier synthetic single-replica brief and coverage evidence</t>
  </si>
  <si>
    <t>2026-10-01</t>
  </si>
  <si>
    <t>Invented conflicting requirement and coverage; no private source.</t>
  </si>
  <si>
    <t>SYN-03</t>
  </si>
  <si>
    <t>Later synthetic resilience requirement and flow register</t>
  </si>
  <si>
    <t>Invented two-replica requirement; FLOW-01 COMP-03 to COMP-04 HTTPS. No live topology.</t>
  </si>
  <si>
    <t>Synthese</t>
  </si>
  <si>
    <t>Synthese dynamique des charges et options cloud. Les prix, la couverture et les incertitudes doivent etre confirmes avant engagement.</t>
  </si>
  <si>
    <t>Indicateur</t>
  </si>
  <si>
    <t>Rapprochement technique (Build + Run/mois)</t>
  </si>
  <si>
    <t>Unites mixtes</t>
  </si>
  <si>
    <t>Utilisation budgetaire interdite : JH Build et JH Run/mois ont des unites incompatibles.</t>
  </si>
  <si>
    <t>Effort ponctuel.</t>
  </si>
  <si>
    <t>JH Run mensuel</t>
  </si>
  <si>
    <t>Effort recurrent.</t>
  </si>
  <si>
    <t>Cout Build</t>
  </si>
  <si>
    <t>Effort Build au taux journalier saisi.</t>
  </si>
  <si>
    <t>Cout Run mensuel</t>
  </si>
  <si>
    <t>Effort Run au taux journalier saisi.</t>
  </si>
  <si>
    <t>Cloud mensuel | Provider A | Economique</t>
  </si>
  <si>
    <t>Option alternative ; ne pas sommer les fournisseurs.</t>
  </si>
  <si>
    <t>Cloud mensuel | Provider A | Standard</t>
  </si>
  <si>
    <t>Cloud mensuel | Provider A | Resilient</t>
  </si>
  <si>
    <t>Cloud mensuel | Provider B | Economique</t>
  </si>
  <si>
    <t>Cloud mensuel | Provider B | Standard</t>
  </si>
  <si>
    <t>Cloud mensuel | Provider B | Resilient</t>
  </si>
  <si>
    <t>Cloud mensuel | Provider C | Economique</t>
  </si>
  <si>
    <t>Cloud mensuel | Provider C | Standard</t>
  </si>
  <si>
    <t>Cloud mensuel | Provider C | Resilient</t>
  </si>
  <si>
    <t>Statut finance</t>
  </si>
  <si>
    <t>Controle</t>
  </si>
  <si>
    <t>Un taux inconnu bloque couts humains, TCO et approbation financiere, pas les capacites ou JH. Un taux renseigne ne vaut pas approbation.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</si>
</sst>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7" x14ac:knownFonts="1">
    <font>
      <sz val="11"/>
      <color theme="1"/>
      <name val="Calibri"/>
      <family val="2"/>
      <scheme val="minor"/>
    </font>
    <font>
      <b/>
      <sz val="16"/>
      <color rgb="FF17365D"/>
      <name val="Arial"/>
    </font>
    <font>
      <sz val="11"/>
      <color rgb="FF000000"/>
      <name val="Arial"/>
    </font>
    <font>
      <b/>
      <sz val="11"/>
      <color rgb="FFFFFFFF"/>
      <name val="Arial"/>
    </font>
    <font>
      <sz val="11"/>
      <color rgb="FF0000FF"/>
      <name val="Arial"/>
    </font>
    <font>
      <b/>
      <sz val="11"/>
      <color rgb="FF17365D"/>
      <name val="Arial"/>
    </font>
    <font>
      <sz val="11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164" fontId="4" fillId="3" borderId="0" xfId="0" applyNumberFormat="1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5" fillId="0" borderId="0" xfId="0" applyFont="1"/>
    <xf numFmtId="0" fontId="2" fillId="0" borderId="0" xfId="0" applyFon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64" fontId="6" fillId="3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0" fontId="3" fillId="2" borderId="0" xfId="0" applyFont="1" applyFill="1" applyAlignment="1">
      <alignment wrapText="1"/>
    </xf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6477000" cy="971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ezMoi" displayName="LisezMoi" ref="A4:B9">
  <autoFilter ref="A4:B9" xr:uid="{00000000-0009-0000-0100-000001000000}"/>
  <tableColumns count="2">
    <tableColumn id="1" xr3:uid="{00000000-0010-0000-0000-000001000000}" name="Cle"/>
    <tableColumn id="2" xr3:uid="{00000000-0010-0000-0000-000002000000}" name="Valeu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ypotheses" displayName="Hypotheses" ref="A4:F49">
  <autoFilter ref="A4:F49" xr:uid="{00000000-0009-0000-0100-000002000000}"/>
  <tableColumns count="6">
    <tableColumn id="1" xr3:uid="{00000000-0010-0000-0100-000001000000}" name="Hypothese"/>
    <tableColumn id="2" xr3:uid="{00000000-0010-0000-0100-000002000000}" name="Valeur"/>
    <tableColumn id="3" xr3:uid="{00000000-0010-0000-0100-000003000000}" name="Unite"/>
    <tableColumn id="4" xr3:uid="{00000000-0010-0000-0100-000004000000}" name="Statut"/>
    <tableColumn id="5" xr3:uid="{00000000-0010-0000-0100-000005000000}" name="Source"/>
    <tableColumn id="6" xr3:uid="{00000000-0010-0000-0100-000006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ventaire" displayName="Inventaire" ref="A4:F8">
  <autoFilter ref="A4:F8" xr:uid="{00000000-0009-0000-0100-000003000000}"/>
  <tableColumns count="6">
    <tableColumn id="1" xr3:uid="{00000000-0010-0000-0200-000001000000}" name="ID"/>
    <tableColumn id="2" xr3:uid="{00000000-0010-0000-0200-000002000000}" name="Composant"/>
    <tableColumn id="3" xr3:uid="{00000000-0010-0000-0200-000003000000}" name="Environnement"/>
    <tableColumn id="4" xr3:uid="{00000000-0010-0000-0200-000004000000}" name="Quantite"/>
    <tableColumn id="5" xr3:uid="{00000000-0010-0000-0200-000005000000}" name="Unite"/>
    <tableColumn id="6" xr3:uid="{00000000-0010-0000-0200-000006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rchitecture" displayName="Architecture" ref="A4:G6">
  <autoFilter ref="A4:G6" xr:uid="{00000000-0009-0000-0100-000004000000}"/>
  <tableColumns count="7">
    <tableColumn id="1" xr3:uid="{00000000-0010-0000-0300-000001000000}" name="ID"/>
    <tableColumn id="2" xr3:uid="{00000000-0010-0000-0300-000002000000}" name="Composant"/>
    <tableColumn id="3" xr3:uid="{00000000-0010-0000-0300-000003000000}" name="Type"/>
    <tableColumn id="4" xr3:uid="{00000000-0010-0000-0300-000004000000}" name="Environnement"/>
    <tableColumn id="5" xr3:uid="{00000000-0010-0000-0300-000005000000}" name="Fournisseur"/>
    <tableColumn id="6" xr3:uid="{00000000-0010-0000-0300-000006000000}" name="Decision"/>
    <tableColumn id="7" xr3:uid="{00000000-0010-0000-0300-000007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ches" displayName="Taches" ref="A4:V14">
  <autoFilter ref="A4:V14" xr:uid="{00000000-0009-0000-0100-000005000000}"/>
  <tableColumns count="22">
    <tableColumn id="1" xr3:uid="{00000000-0010-0000-0400-000001000000}" name="ID"/>
    <tableColumn id="2" xr3:uid="{00000000-0010-0000-0400-000002000000}" name="Lot"/>
    <tableColumn id="3" xr3:uid="{00000000-0010-0000-0400-000003000000}" name="Domaine"/>
    <tableColumn id="4" xr3:uid="{00000000-0010-0000-0400-000004000000}" name="Tache"/>
    <tableColumn id="5" xr3:uid="{00000000-0010-0000-0400-000005000000}" name="Livrable"/>
    <tableColumn id="6" xr3:uid="{00000000-0010-0000-0400-000006000000}" name="Environnement"/>
    <tableColumn id="7" xr3:uid="{00000000-0010-0000-0400-000007000000}" name="Role"/>
    <tableColumn id="8" xr3:uid="{00000000-0010-0000-0400-000008000000}" name="Prerequis"/>
    <tableColumn id="9" xr3:uid="{00000000-0010-0000-0400-000009000000}" name="Dependances"/>
    <tableColumn id="10" xr3:uid="{00000000-0010-0000-0400-00000A000000}" name="Critere d'acceptation"/>
    <tableColumn id="11" xr3:uid="{00000000-0010-0000-0400-00000B000000}" name="Preuve attendue"/>
    <tableColumn id="12" xr3:uid="{00000000-0010-0000-0400-00000C000000}" name="JH bas"/>
    <tableColumn id="13" xr3:uid="{00000000-0010-0000-0400-00000D000000}" name="JH probable"/>
    <tableColumn id="14" xr3:uid="{00000000-0010-0000-0400-00000E000000}" name="JH haut"/>
    <tableColumn id="15" xr3:uid="{00000000-0010-0000-0400-00000F000000}" name="Scenario retenu"/>
    <tableColumn id="16" xr3:uid="{00000000-0010-0000-0400-000010000000}" name="Scenario override"/>
    <tableColumn id="17" xr3:uid="{00000000-0010-0000-0400-000011000000}" name="JH retenu"/>
    <tableColumn id="18" xr3:uid="{00000000-0010-0000-0400-000012000000}" name="Nature"/>
    <tableColumn id="19" xr3:uid="{00000000-0010-0000-0400-000013000000}" name="Couverture"/>
    <tableColumn id="20" xr3:uid="{00000000-0010-0000-0400-000014000000}" name="Source"/>
    <tableColumn id="21" xr3:uid="{00000000-0010-0000-0400-000015000000}" name="Confiance"/>
    <tableColumn id="22" xr3:uid="{00000000-0010-0000-0400-000016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utsCloud" displayName="CoutsCloud" ref="A4:P31">
  <autoFilter ref="A4:P31" xr:uid="{00000000-0009-0000-0100-000006000000}"/>
  <tableColumns count="16">
    <tableColumn id="1" xr3:uid="{00000000-0010-0000-0500-000001000000}" name="ID"/>
    <tableColumn id="2" xr3:uid="{00000000-0010-0000-0500-000002000000}" name="Fournisseur"/>
    <tableColumn id="3" xr3:uid="{00000000-0010-0000-0500-000003000000}" name="Service"/>
    <tableColumn id="4" xr3:uid="{00000000-0010-0000-0500-000004000000}" name="Environnement"/>
    <tableColumn id="5" xr3:uid="{00000000-0010-0000-0500-000005000000}" name="Scenario"/>
    <tableColumn id="6" xr3:uid="{00000000-0010-0000-0500-000006000000}" name="Unite"/>
    <tableColumn id="7" xr3:uid="{00000000-0010-0000-0500-000007000000}" name="Quantite"/>
    <tableColumn id="8" xr3:uid="{00000000-0010-0000-0500-000008000000}" name="Prix unitaire (EUR)"/>
    <tableColumn id="9" xr3:uid="{00000000-0010-0000-0500-000009000000}" name="Devise"/>
    <tableColumn id="10" xr3:uid="{00000000-0010-0000-0500-00000A000000}" name="Multiplicateur mensuel"/>
    <tableColumn id="11" xr3:uid="{00000000-0010-0000-0500-00000B000000}" name="Cout mensuel (EUR)"/>
    <tableColumn id="12" xr3:uid="{00000000-0010-0000-0500-00000C000000}" name="Cout annuel (EUR)"/>
    <tableColumn id="13" xr3:uid="{00000000-0010-0000-0500-00000D000000}" name="Source"/>
    <tableColumn id="14" xr3:uid="{00000000-0010-0000-0500-00000E000000}" name="Confiance"/>
    <tableColumn id="15" xr3:uid="{00000000-0010-0000-0500-00000F000000}" name="Notes"/>
    <tableColumn id="16" xr3:uid="{00000000-0010-0000-0500-000010000000}" name="Statut prix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enarios" displayName="Scenarios" ref="A4:F7">
  <autoFilter ref="A4:F7" xr:uid="{00000000-0009-0000-0100-000007000000}"/>
  <tableColumns count="6">
    <tableColumn id="1" xr3:uid="{00000000-0010-0000-0600-000001000000}" name="Scenario"/>
    <tableColumn id="2" xr3:uid="{00000000-0010-0000-0600-000002000000}" name="Description"/>
    <tableColumn id="3" xr3:uid="{00000000-0010-0000-0600-000003000000}" name="Rapprochement technique (non budgetaire)"/>
    <tableColumn id="4" xr3:uid="{00000000-0010-0000-0600-000004000000}" name="JH Build"/>
    <tableColumn id="5" xr3:uid="{00000000-0010-0000-0600-000005000000}" name="JH Run/mois"/>
    <tableColumn id="6" xr3:uid="{00000000-0010-0000-0600-000006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mparaisonFournisseurs" displayName="ComparaisonFournisseurs" ref="A11:F14">
  <autoFilter ref="A11:F14" xr:uid="{00000000-0009-0000-0100-000008000000}"/>
  <tableColumns count="6">
    <tableColumn id="1" xr3:uid="{00000000-0010-0000-0700-000001000000}" name="Fournisseur"/>
    <tableColumn id="2" xr3:uid="{00000000-0010-0000-0700-000002000000}" name="Build (JH)"/>
    <tableColumn id="3" xr3:uid="{00000000-0010-0000-0700-000003000000}" name="Run humain (JH/mois)"/>
    <tableColumn id="4" xr3:uid="{00000000-0010-0000-0700-000004000000}" name="Cloud (EUR/mois)"/>
    <tableColumn id="5" xr3:uid="{00000000-0010-0000-0700-000005000000}" name="Horizon (annees)"/>
    <tableColumn id="6" xr3:uid="{00000000-0010-0000-0700-000006000000}" name="TCO (EUR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hasage" displayName="Phasage" ref="A4:G7">
  <autoFilter ref="A4:G7" xr:uid="{00000000-0009-0000-0100-000009000000}"/>
  <tableColumns count="7">
    <tableColumn id="1" xr3:uid="{00000000-0010-0000-0800-000001000000}" name="Phase"/>
    <tableColumn id="2" xr3:uid="{00000000-0010-0000-0800-000002000000}" name="Sequence"/>
    <tableColumn id="3" xr3:uid="{00000000-0010-0000-0800-000003000000}" name="Jalon"/>
    <tableColumn id="4" xr3:uid="{00000000-0010-0000-0800-000004000000}" name="Rapprochement technique (non budgetaire)"/>
    <tableColumn id="5" xr3:uid="{00000000-0010-0000-0800-000005000000}" name="JH Build"/>
    <tableColumn id="6" xr3:uid="{00000000-0010-0000-0800-000006000000}" name="JH Run/mois"/>
    <tableColumn id="7" xr3:uid="{00000000-0010-0000-0800-000007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isques" displayName="Risques" ref="A4:G8">
  <autoFilter ref="A4:G8" xr:uid="{00000000-0009-0000-0100-00000A000000}"/>
  <tableColumns count="7">
    <tableColumn id="1" xr3:uid="{00000000-0010-0000-0900-000001000000}" name="ID"/>
    <tableColumn id="2" xr3:uid="{00000000-0010-0000-0900-000002000000}" name="Risque"/>
    <tableColumn id="3" xr3:uid="{00000000-0010-0000-0900-000003000000}" name="Impact"/>
    <tableColumn id="4" xr3:uid="{00000000-0010-0000-0900-000004000000}" name="Probabilite"/>
    <tableColumn id="5" xr3:uid="{00000000-0010-0000-0900-000005000000}" name="Mitigation"/>
    <tableColumn id="6" xr3:uid="{00000000-0010-0000-0900-000006000000}" name="Responsable"/>
    <tableColumn id="7" xr3:uid="{00000000-0010-0000-0900-000007000000}" name="Statu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rbitrages" displayName="Arbitrages" ref="A4:F9">
  <autoFilter ref="A4:F9" xr:uid="{00000000-0009-0000-0100-00000B000000}"/>
  <tableColumns count="6">
    <tableColumn id="1" xr3:uid="{00000000-0010-0000-0A00-000001000000}" name="ID"/>
    <tableColumn id="2" xr3:uid="{00000000-0010-0000-0A00-000002000000}" name="Question"/>
    <tableColumn id="3" xr3:uid="{00000000-0010-0000-0A00-000003000000}" name="Option"/>
    <tableColumn id="4" xr3:uid="{00000000-0010-0000-0A00-000004000000}" name="Justification"/>
    <tableColumn id="5" xr3:uid="{00000000-0010-0000-0A00-000005000000}" name="Statut"/>
    <tableColumn id="6" xr3:uid="{00000000-0010-0000-0A00-000006000000}" name="Sourc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ources" displayName="Sources" ref="A4:F7">
  <autoFilter ref="A4:F7" xr:uid="{00000000-0009-0000-0100-00000C000000}"/>
  <tableColumns count="6">
    <tableColumn id="1" xr3:uid="{00000000-0010-0000-0B00-000001000000}" name="ID"/>
    <tableColumn id="2" xr3:uid="{00000000-0010-0000-0B00-000002000000}" name="Titre"/>
    <tableColumn id="3" xr3:uid="{00000000-0010-0000-0B00-000003000000}" name="Type"/>
    <tableColumn id="4" xr3:uid="{00000000-0010-0000-0B00-000004000000}" name="Date"/>
    <tableColumn id="5" xr3:uid="{00000000-0010-0000-0B00-000005000000}" name="URL"/>
    <tableColumn id="6" xr3:uid="{00000000-0010-0000-0B00-000006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Synthese" displayName="Synthese" ref="A4:D19">
  <autoFilter ref="A4:D19" xr:uid="{00000000-0009-0000-0100-00000D000000}"/>
  <tableColumns count="4">
    <tableColumn id="1" xr3:uid="{00000000-0010-0000-0C00-000001000000}" name="Indicateur"/>
    <tableColumn id="2" xr3:uid="{00000000-0010-0000-0C00-000002000000}" name="Valeur"/>
    <tableColumn id="3" xr3:uid="{00000000-0010-0000-0C00-000003000000}" name="Unite"/>
    <tableColumn id="4" xr3:uid="{00000000-0010-0000-0C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9"/>
  <sheetViews>
    <sheetView showGridLines="0" tabSelected="1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2" width="16" customWidth="1"/>
  </cols>
  <sheetData>
    <row r="1" spans="1:2" ht="20.25" x14ac:dyDescent="0.3">
      <c r="A1" s="1" t="s">
        <v>0</v>
      </c>
    </row>
    <row r="2" spans="1:2" ht="32.1" customHeight="1" x14ac:dyDescent="0.25">
      <c r="A2" s="2" t="s">
        <v>1</v>
      </c>
    </row>
    <row r="4" spans="1:2" x14ac:dyDescent="0.25">
      <c r="A4" s="3" t="s">
        <v>2</v>
      </c>
      <c r="B4" s="3" t="s">
        <v>3</v>
      </c>
    </row>
    <row r="5" spans="1:2" ht="42.75" x14ac:dyDescent="0.25">
      <c r="A5" s="4" t="s">
        <v>4</v>
      </c>
      <c r="B5" s="4" t="s">
        <v>5</v>
      </c>
    </row>
    <row r="6" spans="1:2" x14ac:dyDescent="0.25">
      <c r="A6" s="4" t="s">
        <v>6</v>
      </c>
      <c r="B6" s="4" t="s">
        <v>7</v>
      </c>
    </row>
    <row r="7" spans="1:2" x14ac:dyDescent="0.25">
      <c r="A7" s="4" t="s">
        <v>8</v>
      </c>
      <c r="B7" s="4" t="s">
        <v>9</v>
      </c>
    </row>
    <row r="8" spans="1:2" x14ac:dyDescent="0.25">
      <c r="A8" s="4" t="s">
        <v>10</v>
      </c>
      <c r="B8" s="4" t="s">
        <v>11</v>
      </c>
    </row>
    <row r="9" spans="1:2" ht="409.5" x14ac:dyDescent="0.25">
      <c r="A9" s="4" t="s">
        <v>12</v>
      </c>
      <c r="B9" s="4" t="s">
        <v>13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9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6" width="16" customWidth="1"/>
  </cols>
  <sheetData>
    <row r="1" spans="1:6" ht="20.25" x14ac:dyDescent="0.3">
      <c r="A1" s="1" t="s">
        <v>14</v>
      </c>
    </row>
    <row r="2" spans="1:6" ht="32.1" customHeight="1" x14ac:dyDescent="0.25">
      <c r="A2" s="2" t="s">
        <v>15</v>
      </c>
    </row>
    <row r="4" spans="1:6" x14ac:dyDescent="0.25">
      <c r="A4" s="3" t="s">
        <v>16</v>
      </c>
      <c r="B4" s="3" t="s">
        <v>3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57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</row>
    <row r="6" spans="1:6" ht="42.75" x14ac:dyDescent="0.25">
      <c r="A6" s="5" t="s">
        <v>27</v>
      </c>
      <c r="B6" s="6">
        <v>650</v>
      </c>
      <c r="C6" s="5" t="s">
        <v>28</v>
      </c>
      <c r="D6" s="5" t="s">
        <v>29</v>
      </c>
      <c r="E6" s="5" t="s">
        <v>25</v>
      </c>
      <c r="F6" s="5" t="s">
        <v>30</v>
      </c>
    </row>
    <row r="7" spans="1:6" ht="28.5" x14ac:dyDescent="0.25">
      <c r="A7" s="4" t="s">
        <v>31</v>
      </c>
      <c r="B7" s="7">
        <v>12</v>
      </c>
      <c r="C7" s="4" t="s">
        <v>32</v>
      </c>
      <c r="D7" s="4" t="s">
        <v>24</v>
      </c>
      <c r="E7" s="4" t="s">
        <v>25</v>
      </c>
      <c r="F7" s="4" t="s">
        <v>33</v>
      </c>
    </row>
    <row r="8" spans="1:6" ht="57" x14ac:dyDescent="0.25">
      <c r="A8" s="5" t="s">
        <v>34</v>
      </c>
      <c r="B8" s="6">
        <v>8</v>
      </c>
      <c r="C8" s="5" t="s">
        <v>35</v>
      </c>
      <c r="D8" s="5" t="s">
        <v>29</v>
      </c>
      <c r="E8" s="5" t="s">
        <v>25</v>
      </c>
      <c r="F8" s="5" t="s">
        <v>36</v>
      </c>
    </row>
    <row r="9" spans="1:6" ht="213.75" x14ac:dyDescent="0.25">
      <c r="A9" s="5" t="s">
        <v>37</v>
      </c>
      <c r="B9" s="6">
        <v>6</v>
      </c>
      <c r="C9" s="5" t="s">
        <v>11</v>
      </c>
      <c r="D9" s="5" t="s">
        <v>29</v>
      </c>
      <c r="E9" s="5" t="s">
        <v>25</v>
      </c>
      <c r="F9" s="5" t="s">
        <v>38</v>
      </c>
    </row>
    <row r="10" spans="1:6" ht="114" x14ac:dyDescent="0.25">
      <c r="A10" s="5" t="s">
        <v>39</v>
      </c>
      <c r="B10" s="12">
        <f>SUMIFS(Taches[JH retenu],Taches[Lot],"Foundation",Taches[Nature],"Build")-B9</f>
        <v>3</v>
      </c>
      <c r="C10" s="5" t="s">
        <v>11</v>
      </c>
      <c r="D10" s="5" t="s">
        <v>29</v>
      </c>
      <c r="E10" s="5" t="s">
        <v>25</v>
      </c>
      <c r="F10" s="5" t="s">
        <v>40</v>
      </c>
    </row>
    <row r="11" spans="1:6" ht="99.75" x14ac:dyDescent="0.25">
      <c r="A11" s="5" t="s">
        <v>41</v>
      </c>
      <c r="B11" s="6">
        <v>6</v>
      </c>
      <c r="C11" s="5" t="s">
        <v>42</v>
      </c>
      <c r="D11" s="5" t="s">
        <v>29</v>
      </c>
      <c r="E11" s="5" t="s">
        <v>25</v>
      </c>
      <c r="F11" s="5" t="s">
        <v>43</v>
      </c>
    </row>
    <row r="12" spans="1:6" ht="57" x14ac:dyDescent="0.25">
      <c r="A12" s="5" t="s">
        <v>44</v>
      </c>
      <c r="B12" s="6">
        <v>12</v>
      </c>
      <c r="C12" s="5" t="s">
        <v>42</v>
      </c>
      <c r="D12" s="5" t="s">
        <v>29</v>
      </c>
      <c r="E12" s="5" t="s">
        <v>25</v>
      </c>
      <c r="F12" s="5" t="s">
        <v>45</v>
      </c>
    </row>
    <row r="13" spans="1:6" ht="71.25" x14ac:dyDescent="0.25">
      <c r="A13" s="5" t="s">
        <v>46</v>
      </c>
      <c r="B13" s="6">
        <v>8</v>
      </c>
      <c r="C13" s="5" t="s">
        <v>47</v>
      </c>
      <c r="D13" s="5" t="s">
        <v>29</v>
      </c>
      <c r="E13" s="5" t="s">
        <v>25</v>
      </c>
      <c r="F13" s="5" t="s">
        <v>48</v>
      </c>
    </row>
    <row r="14" spans="1:6" ht="85.5" x14ac:dyDescent="0.25">
      <c r="A14" s="5" t="s">
        <v>49</v>
      </c>
      <c r="B14" s="6">
        <v>100</v>
      </c>
      <c r="C14" s="5" t="s">
        <v>47</v>
      </c>
      <c r="D14" s="5" t="s">
        <v>29</v>
      </c>
      <c r="E14" s="5" t="s">
        <v>25</v>
      </c>
      <c r="F14" s="5" t="s">
        <v>50</v>
      </c>
    </row>
    <row r="15" spans="1:6" ht="99.75" x14ac:dyDescent="0.25">
      <c r="A15" s="5" t="s">
        <v>51</v>
      </c>
      <c r="B15" s="6">
        <v>1000</v>
      </c>
      <c r="C15" s="5" t="s">
        <v>52</v>
      </c>
      <c r="D15" s="5" t="s">
        <v>29</v>
      </c>
      <c r="E15" s="5" t="s">
        <v>25</v>
      </c>
      <c r="F15" s="5" t="s">
        <v>53</v>
      </c>
    </row>
    <row r="16" spans="1:6" ht="99.75" x14ac:dyDescent="0.25">
      <c r="A16" s="5" t="s">
        <v>54</v>
      </c>
      <c r="B16" s="6">
        <v>100</v>
      </c>
      <c r="C16" s="5" t="s">
        <v>55</v>
      </c>
      <c r="D16" s="5" t="s">
        <v>29</v>
      </c>
      <c r="E16" s="5" t="s">
        <v>25</v>
      </c>
      <c r="F16" s="5" t="s">
        <v>56</v>
      </c>
    </row>
    <row r="17" spans="1:6" ht="85.5" x14ac:dyDescent="0.25">
      <c r="A17" s="5" t="s">
        <v>57</v>
      </c>
      <c r="B17" s="6">
        <v>100</v>
      </c>
      <c r="C17" s="5" t="s">
        <v>58</v>
      </c>
      <c r="D17" s="5" t="s">
        <v>29</v>
      </c>
      <c r="E17" s="5" t="s">
        <v>25</v>
      </c>
      <c r="F17" s="5" t="s">
        <v>59</v>
      </c>
    </row>
    <row r="18" spans="1:6" ht="114" x14ac:dyDescent="0.25">
      <c r="A18" s="5" t="s">
        <v>60</v>
      </c>
      <c r="B18" s="6">
        <v>0.75</v>
      </c>
      <c r="C18" s="5" t="s">
        <v>61</v>
      </c>
      <c r="D18" s="5" t="s">
        <v>29</v>
      </c>
      <c r="E18" s="5" t="s">
        <v>25</v>
      </c>
      <c r="F18" s="5" t="s">
        <v>62</v>
      </c>
    </row>
    <row r="19" spans="1:6" ht="71.25" x14ac:dyDescent="0.25">
      <c r="A19" s="5" t="s">
        <v>63</v>
      </c>
      <c r="B19" s="6">
        <v>3</v>
      </c>
      <c r="C19" s="5" t="s">
        <v>64</v>
      </c>
      <c r="D19" s="5" t="s">
        <v>29</v>
      </c>
      <c r="E19" s="5" t="s">
        <v>25</v>
      </c>
      <c r="F19" s="5" t="s">
        <v>65</v>
      </c>
    </row>
    <row r="20" spans="1:6" ht="71.25" x14ac:dyDescent="0.25">
      <c r="A20" s="5" t="s">
        <v>66</v>
      </c>
      <c r="B20" s="6">
        <v>1</v>
      </c>
      <c r="C20" s="5" t="s">
        <v>64</v>
      </c>
      <c r="D20" s="5" t="s">
        <v>29</v>
      </c>
      <c r="E20" s="5" t="s">
        <v>25</v>
      </c>
      <c r="F20" s="5" t="s">
        <v>67</v>
      </c>
    </row>
    <row r="21" spans="1:6" ht="71.25" x14ac:dyDescent="0.25">
      <c r="A21" s="5" t="s">
        <v>68</v>
      </c>
      <c r="B21" s="6">
        <v>4</v>
      </c>
      <c r="C21" s="5" t="s">
        <v>69</v>
      </c>
      <c r="D21" s="5" t="s">
        <v>29</v>
      </c>
      <c r="E21" s="5" t="s">
        <v>25</v>
      </c>
      <c r="F21" s="5" t="s">
        <v>70</v>
      </c>
    </row>
    <row r="22" spans="1:6" ht="99.75" x14ac:dyDescent="0.25">
      <c r="A22" s="5" t="s">
        <v>71</v>
      </c>
      <c r="B22" s="6">
        <v>2</v>
      </c>
      <c r="C22" s="5" t="s">
        <v>64</v>
      </c>
      <c r="D22" s="5" t="s">
        <v>29</v>
      </c>
      <c r="E22" s="5" t="s">
        <v>25</v>
      </c>
      <c r="F22" s="5" t="s">
        <v>72</v>
      </c>
    </row>
    <row r="23" spans="1:6" ht="142.5" x14ac:dyDescent="0.25">
      <c r="A23" s="5" t="s">
        <v>73</v>
      </c>
      <c r="B23" s="13">
        <f>B12/(B21*B22*B18)</f>
        <v>2</v>
      </c>
      <c r="C23" s="5" t="s">
        <v>61</v>
      </c>
      <c r="D23" s="5" t="s">
        <v>29</v>
      </c>
      <c r="E23" s="5" t="s">
        <v>25</v>
      </c>
      <c r="F23" s="5" t="s">
        <v>74</v>
      </c>
    </row>
    <row r="24" spans="1:6" ht="71.25" x14ac:dyDescent="0.25">
      <c r="A24" s="5" t="s">
        <v>75</v>
      </c>
      <c r="B24" s="6">
        <v>1</v>
      </c>
      <c r="C24" s="5" t="s">
        <v>64</v>
      </c>
      <c r="D24" s="5" t="s">
        <v>29</v>
      </c>
      <c r="E24" s="5" t="s">
        <v>25</v>
      </c>
      <c r="F24" s="5" t="s">
        <v>76</v>
      </c>
    </row>
    <row r="25" spans="1:6" ht="99.75" x14ac:dyDescent="0.25">
      <c r="A25" s="5" t="s">
        <v>77</v>
      </c>
      <c r="B25" s="6">
        <v>2</v>
      </c>
      <c r="C25" s="5" t="s">
        <v>64</v>
      </c>
      <c r="D25" s="5" t="s">
        <v>29</v>
      </c>
      <c r="E25" s="5" t="s">
        <v>25</v>
      </c>
      <c r="F25" s="5" t="s">
        <v>78</v>
      </c>
    </row>
    <row r="26" spans="1:6" ht="57" x14ac:dyDescent="0.25">
      <c r="A26" s="5" t="s">
        <v>79</v>
      </c>
      <c r="B26" s="6">
        <v>45</v>
      </c>
      <c r="C26" s="5" t="s">
        <v>80</v>
      </c>
      <c r="D26" s="5" t="s">
        <v>29</v>
      </c>
      <c r="E26" s="5" t="s">
        <v>25</v>
      </c>
      <c r="F26" s="5" t="s">
        <v>81</v>
      </c>
    </row>
    <row r="27" spans="1:6" ht="99.75" x14ac:dyDescent="0.25">
      <c r="A27" s="5" t="s">
        <v>82</v>
      </c>
      <c r="B27" s="13">
        <f>(B25-B24)*B26</f>
        <v>45</v>
      </c>
      <c r="C27" s="5" t="s">
        <v>83</v>
      </c>
      <c r="D27" s="5" t="s">
        <v>29</v>
      </c>
      <c r="E27" s="5" t="s">
        <v>25</v>
      </c>
      <c r="F27" s="5" t="s">
        <v>84</v>
      </c>
    </row>
    <row r="28" spans="1:6" ht="99.75" x14ac:dyDescent="0.25">
      <c r="A28" s="5" t="s">
        <v>85</v>
      </c>
      <c r="B28" s="6">
        <v>1</v>
      </c>
      <c r="C28" s="5" t="s">
        <v>11</v>
      </c>
      <c r="D28" s="5" t="s">
        <v>29</v>
      </c>
      <c r="E28" s="5" t="s">
        <v>25</v>
      </c>
      <c r="F28" s="5" t="s">
        <v>86</v>
      </c>
    </row>
    <row r="29" spans="1:6" ht="85.5" x14ac:dyDescent="0.25">
      <c r="A29" s="5" t="s">
        <v>87</v>
      </c>
      <c r="B29" s="6">
        <v>3</v>
      </c>
      <c r="C29" s="5" t="s">
        <v>11</v>
      </c>
      <c r="D29" s="5" t="s">
        <v>29</v>
      </c>
      <c r="E29" s="5" t="s">
        <v>25</v>
      </c>
      <c r="F29" s="5" t="s">
        <v>88</v>
      </c>
    </row>
    <row r="30" spans="1:6" ht="42.75" x14ac:dyDescent="0.25">
      <c r="A30" s="5" t="s">
        <v>89</v>
      </c>
      <c r="B30" s="13">
        <f>B29-B28</f>
        <v>2</v>
      </c>
      <c r="C30" s="5" t="s">
        <v>11</v>
      </c>
      <c r="D30" s="5" t="s">
        <v>29</v>
      </c>
      <c r="E30" s="5" t="s">
        <v>25</v>
      </c>
      <c r="F30" s="5" t="s">
        <v>90</v>
      </c>
    </row>
    <row r="31" spans="1:6" ht="57" x14ac:dyDescent="0.25">
      <c r="A31" s="5" t="s">
        <v>91</v>
      </c>
      <c r="B31" s="6">
        <v>0.5</v>
      </c>
      <c r="C31" s="5" t="s">
        <v>92</v>
      </c>
      <c r="D31" s="5" t="s">
        <v>29</v>
      </c>
      <c r="E31" s="5" t="s">
        <v>25</v>
      </c>
      <c r="F31" s="5" t="s">
        <v>93</v>
      </c>
    </row>
    <row r="32" spans="1:6" ht="71.25" x14ac:dyDescent="0.25">
      <c r="A32" s="5" t="s">
        <v>94</v>
      </c>
      <c r="B32" s="6">
        <v>1</v>
      </c>
      <c r="C32" s="5" t="s">
        <v>92</v>
      </c>
      <c r="D32" s="5" t="s">
        <v>29</v>
      </c>
      <c r="E32" s="5" t="s">
        <v>25</v>
      </c>
      <c r="F32" s="5" t="s">
        <v>95</v>
      </c>
    </row>
    <row r="33" spans="1:6" ht="57" x14ac:dyDescent="0.25">
      <c r="A33" s="5" t="s">
        <v>96</v>
      </c>
      <c r="B33" s="13">
        <f>B32-B31</f>
        <v>0.5</v>
      </c>
      <c r="C33" s="5" t="s">
        <v>92</v>
      </c>
      <c r="D33" s="5" t="s">
        <v>29</v>
      </c>
      <c r="E33" s="5" t="s">
        <v>25</v>
      </c>
      <c r="F33" s="5" t="s">
        <v>97</v>
      </c>
    </row>
    <row r="34" spans="1:6" ht="114" x14ac:dyDescent="0.25">
      <c r="A34" s="5" t="s">
        <v>98</v>
      </c>
      <c r="B34" s="6">
        <v>90</v>
      </c>
      <c r="C34" s="5" t="s">
        <v>83</v>
      </c>
      <c r="D34" s="5" t="s">
        <v>29</v>
      </c>
      <c r="E34" s="5" t="s">
        <v>25</v>
      </c>
      <c r="F34" s="5" t="s">
        <v>99</v>
      </c>
    </row>
    <row r="35" spans="1:6" ht="57" x14ac:dyDescent="0.25">
      <c r="A35" s="5" t="s">
        <v>100</v>
      </c>
      <c r="B35" s="6">
        <v>0.25</v>
      </c>
      <c r="C35" s="5" t="s">
        <v>61</v>
      </c>
      <c r="D35" s="5" t="s">
        <v>29</v>
      </c>
      <c r="E35" s="5" t="s">
        <v>25</v>
      </c>
      <c r="F35" s="5" t="s">
        <v>101</v>
      </c>
    </row>
    <row r="36" spans="1:6" ht="114" x14ac:dyDescent="0.25">
      <c r="A36" s="5" t="s">
        <v>102</v>
      </c>
      <c r="B36" s="6">
        <v>0.5</v>
      </c>
      <c r="C36" s="5" t="s">
        <v>61</v>
      </c>
      <c r="D36" s="5" t="s">
        <v>29</v>
      </c>
      <c r="E36" s="5" t="s">
        <v>25</v>
      </c>
      <c r="F36" s="5" t="s">
        <v>103</v>
      </c>
    </row>
    <row r="37" spans="1:6" ht="57" x14ac:dyDescent="0.25">
      <c r="A37" s="5" t="s">
        <v>104</v>
      </c>
      <c r="B37" s="13">
        <f>B34*B35</f>
        <v>22.5</v>
      </c>
      <c r="C37" s="5" t="s">
        <v>83</v>
      </c>
      <c r="D37" s="5" t="s">
        <v>29</v>
      </c>
      <c r="E37" s="5" t="s">
        <v>25</v>
      </c>
      <c r="F37" s="5" t="s">
        <v>105</v>
      </c>
    </row>
    <row r="38" spans="1:6" ht="57" x14ac:dyDescent="0.25">
      <c r="A38" s="5" t="s">
        <v>106</v>
      </c>
      <c r="B38" s="13">
        <f>B34*B36</f>
        <v>45</v>
      </c>
      <c r="C38" s="5" t="s">
        <v>83</v>
      </c>
      <c r="D38" s="5" t="s">
        <v>29</v>
      </c>
      <c r="E38" s="5" t="s">
        <v>25</v>
      </c>
      <c r="F38" s="5" t="s">
        <v>107</v>
      </c>
    </row>
    <row r="39" spans="1:6" ht="99.75" x14ac:dyDescent="0.25">
      <c r="A39" s="5" t="s">
        <v>108</v>
      </c>
      <c r="B39" s="12">
        <f>B34-SUMIFS(CoutsCloud[Cout mensuel (EUR)],CoutsCloud[Fournisseur],"Provider A",CoutsCloud[Scenario],"Standard",CoutsCloud[Environnement],"Non-production")</f>
        <v>45</v>
      </c>
      <c r="C39" s="5" t="s">
        <v>83</v>
      </c>
      <c r="D39" s="5" t="s">
        <v>29</v>
      </c>
      <c r="E39" s="5" t="s">
        <v>25</v>
      </c>
      <c r="F39" s="5" t="s">
        <v>109</v>
      </c>
    </row>
    <row r="40" spans="1:6" ht="85.5" x14ac:dyDescent="0.25">
      <c r="A40" s="5" t="s">
        <v>110</v>
      </c>
      <c r="B40" s="6">
        <v>3</v>
      </c>
      <c r="C40" s="5" t="s">
        <v>111</v>
      </c>
      <c r="D40" s="5" t="s">
        <v>29</v>
      </c>
      <c r="E40" s="5" t="s">
        <v>25</v>
      </c>
      <c r="F40" s="5" t="s">
        <v>112</v>
      </c>
    </row>
    <row r="41" spans="1:6" ht="85.5" x14ac:dyDescent="0.25">
      <c r="A41" s="5" t="s">
        <v>113</v>
      </c>
      <c r="B41" s="6">
        <v>0</v>
      </c>
      <c r="C41" s="5" t="s">
        <v>83</v>
      </c>
      <c r="D41" s="5" t="s">
        <v>29</v>
      </c>
      <c r="E41" s="5" t="s">
        <v>25</v>
      </c>
      <c r="F41" s="5" t="s">
        <v>114</v>
      </c>
    </row>
    <row r="42" spans="1:6" ht="99.75" x14ac:dyDescent="0.25">
      <c r="A42" s="5" t="s">
        <v>115</v>
      </c>
      <c r="B42" s="5" t="s">
        <v>22</v>
      </c>
      <c r="C42" s="5" t="s">
        <v>23</v>
      </c>
      <c r="D42" s="5" t="s">
        <v>29</v>
      </c>
      <c r="E42" s="5" t="s">
        <v>25</v>
      </c>
      <c r="F42" s="5" t="s">
        <v>116</v>
      </c>
    </row>
    <row r="43" spans="1:6" ht="142.5" x14ac:dyDescent="0.25">
      <c r="A43" s="5" t="s">
        <v>117</v>
      </c>
      <c r="B43" s="12">
        <f>'06_Scenarios'!F12</f>
        <v>41906</v>
      </c>
      <c r="C43" s="5" t="s">
        <v>118</v>
      </c>
      <c r="D43" s="5" t="s">
        <v>29</v>
      </c>
      <c r="E43" s="5" t="s">
        <v>25</v>
      </c>
      <c r="F43" s="5" t="s">
        <v>119</v>
      </c>
    </row>
    <row r="44" spans="1:6" ht="128.25" x14ac:dyDescent="0.25">
      <c r="A44" s="5" t="s">
        <v>120</v>
      </c>
      <c r="B44" s="12">
        <f>'06_Scenarios'!F13</f>
        <v>42446</v>
      </c>
      <c r="C44" s="5" t="s">
        <v>118</v>
      </c>
      <c r="D44" s="5" t="s">
        <v>29</v>
      </c>
      <c r="E44" s="5" t="s">
        <v>25</v>
      </c>
      <c r="F44" s="5" t="s">
        <v>121</v>
      </c>
    </row>
    <row r="45" spans="1:6" ht="85.5" x14ac:dyDescent="0.25">
      <c r="A45" s="5" t="s">
        <v>122</v>
      </c>
      <c r="B45" s="12">
        <f>'06_Scenarios'!F14</f>
        <v>42986</v>
      </c>
      <c r="C45" s="5" t="s">
        <v>118</v>
      </c>
      <c r="D45" s="5" t="s">
        <v>29</v>
      </c>
      <c r="E45" s="5" t="s">
        <v>25</v>
      </c>
      <c r="F45" s="5" t="s">
        <v>123</v>
      </c>
    </row>
    <row r="46" spans="1:6" ht="85.5" x14ac:dyDescent="0.25">
      <c r="A46" s="5" t="s">
        <v>124</v>
      </c>
      <c r="B46" s="5" t="s">
        <v>125</v>
      </c>
      <c r="C46" s="5" t="s">
        <v>126</v>
      </c>
      <c r="D46" s="5" t="s">
        <v>29</v>
      </c>
      <c r="E46" s="5" t="s">
        <v>25</v>
      </c>
      <c r="F46" s="5" t="s">
        <v>127</v>
      </c>
    </row>
    <row r="47" spans="1:6" ht="71.25" x14ac:dyDescent="0.25">
      <c r="A47" s="5" t="s">
        <v>128</v>
      </c>
      <c r="B47" s="5" t="s">
        <v>129</v>
      </c>
      <c r="C47" s="5" t="s">
        <v>126</v>
      </c>
      <c r="D47" s="5" t="s">
        <v>29</v>
      </c>
      <c r="E47" s="5" t="s">
        <v>25</v>
      </c>
      <c r="F47" s="5" t="s">
        <v>130</v>
      </c>
    </row>
    <row r="48" spans="1:6" ht="85.5" x14ac:dyDescent="0.25">
      <c r="A48" s="5" t="s">
        <v>131</v>
      </c>
      <c r="B48" s="5" t="s">
        <v>132</v>
      </c>
      <c r="C48" s="5" t="s">
        <v>126</v>
      </c>
      <c r="D48" s="5" t="s">
        <v>29</v>
      </c>
      <c r="E48" s="5" t="s">
        <v>25</v>
      </c>
      <c r="F48" s="5" t="s">
        <v>133</v>
      </c>
    </row>
    <row r="49" spans="1:6" ht="85.5" x14ac:dyDescent="0.25">
      <c r="A49" s="5" t="s">
        <v>134</v>
      </c>
      <c r="B49" s="5" t="s">
        <v>135</v>
      </c>
      <c r="C49" s="5" t="s">
        <v>136</v>
      </c>
      <c r="D49" s="5" t="s">
        <v>29</v>
      </c>
      <c r="E49" s="5" t="s">
        <v>25</v>
      </c>
      <c r="F49" s="5" t="s">
        <v>137</v>
      </c>
    </row>
  </sheetData>
  <dataValidations count="1">
    <dataValidation type="list" showErrorMessage="1" errorTitle="Scenario invalide" error="Choisir Economique, Standard ou Resilient." sqref="B5 B42" xr:uid="{00000000-0002-0000-0100-000000000000}">
      <formula1>"Economique,Standard,Resilient"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8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6" width="16" customWidth="1"/>
  </cols>
  <sheetData>
    <row r="1" spans="1:6" ht="20.25" x14ac:dyDescent="0.3">
      <c r="A1" s="1" t="s">
        <v>138</v>
      </c>
    </row>
    <row r="2" spans="1:6" ht="32.1" customHeight="1" x14ac:dyDescent="0.25">
      <c r="A2" s="2" t="s">
        <v>139</v>
      </c>
    </row>
    <row r="4" spans="1:6" ht="30" x14ac:dyDescent="0.25">
      <c r="A4" s="3" t="s">
        <v>140</v>
      </c>
      <c r="B4" s="3" t="s">
        <v>141</v>
      </c>
      <c r="C4" s="3" t="s">
        <v>142</v>
      </c>
      <c r="D4" s="3" t="s">
        <v>143</v>
      </c>
      <c r="E4" s="3" t="s">
        <v>17</v>
      </c>
      <c r="F4" s="3" t="s">
        <v>20</v>
      </c>
    </row>
    <row r="5" spans="1:6" ht="42.75" x14ac:dyDescent="0.25">
      <c r="A5" s="4" t="s">
        <v>144</v>
      </c>
      <c r="B5" s="4" t="s">
        <v>145</v>
      </c>
      <c r="C5" s="4" t="s">
        <v>146</v>
      </c>
      <c r="D5" s="7">
        <v>1</v>
      </c>
      <c r="E5" s="4" t="s">
        <v>147</v>
      </c>
      <c r="F5" s="4" t="s">
        <v>148</v>
      </c>
    </row>
    <row r="6" spans="1:6" ht="42.75" x14ac:dyDescent="0.25">
      <c r="A6" s="4" t="s">
        <v>149</v>
      </c>
      <c r="B6" s="4" t="s">
        <v>145</v>
      </c>
      <c r="C6" s="4" t="s">
        <v>150</v>
      </c>
      <c r="D6" s="7">
        <v>1</v>
      </c>
      <c r="E6" s="4" t="s">
        <v>147</v>
      </c>
      <c r="F6" s="4" t="s">
        <v>151</v>
      </c>
    </row>
    <row r="7" spans="1:6" ht="42.75" x14ac:dyDescent="0.25">
      <c r="A7" s="4" t="s">
        <v>152</v>
      </c>
      <c r="B7" s="4" t="s">
        <v>145</v>
      </c>
      <c r="C7" s="4" t="s">
        <v>153</v>
      </c>
      <c r="D7" s="7">
        <v>2</v>
      </c>
      <c r="E7" s="4" t="s">
        <v>154</v>
      </c>
      <c r="F7" s="4" t="s">
        <v>155</v>
      </c>
    </row>
    <row r="8" spans="1:6" ht="142.5" x14ac:dyDescent="0.25">
      <c r="A8" s="4" t="s">
        <v>156</v>
      </c>
      <c r="B8" s="4" t="s">
        <v>157</v>
      </c>
      <c r="C8" s="4" t="s">
        <v>153</v>
      </c>
      <c r="D8" s="7">
        <v>1</v>
      </c>
      <c r="E8" s="4" t="s">
        <v>158</v>
      </c>
      <c r="F8" s="4" t="s">
        <v>159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8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7" width="16" customWidth="1"/>
  </cols>
  <sheetData>
    <row r="1" spans="1:7" ht="20.25" x14ac:dyDescent="0.3">
      <c r="A1" s="1" t="s">
        <v>160</v>
      </c>
    </row>
    <row r="2" spans="1:7" ht="32.1" customHeight="1" x14ac:dyDescent="0.25">
      <c r="A2" s="2" t="s">
        <v>161</v>
      </c>
    </row>
    <row r="4" spans="1:7" ht="30" x14ac:dyDescent="0.25">
      <c r="A4" s="3" t="s">
        <v>140</v>
      </c>
      <c r="B4" s="3" t="s">
        <v>141</v>
      </c>
      <c r="C4" s="3" t="s">
        <v>162</v>
      </c>
      <c r="D4" s="3" t="s">
        <v>142</v>
      </c>
      <c r="E4" s="3" t="s">
        <v>163</v>
      </c>
      <c r="F4" s="3" t="s">
        <v>164</v>
      </c>
      <c r="G4" s="3" t="s">
        <v>20</v>
      </c>
    </row>
    <row r="5" spans="1:7" ht="199.5" x14ac:dyDescent="0.25">
      <c r="A5" s="4" t="s">
        <v>165</v>
      </c>
      <c r="B5" s="4" t="s">
        <v>145</v>
      </c>
      <c r="C5" s="4" t="s">
        <v>166</v>
      </c>
      <c r="D5" s="4" t="s">
        <v>153</v>
      </c>
      <c r="E5" s="4" t="s">
        <v>167</v>
      </c>
      <c r="F5" s="4" t="s">
        <v>168</v>
      </c>
      <c r="G5" s="4" t="s">
        <v>169</v>
      </c>
    </row>
    <row r="6" spans="1:7" ht="142.5" x14ac:dyDescent="0.25">
      <c r="A6" s="4" t="s">
        <v>170</v>
      </c>
      <c r="B6" s="4" t="s">
        <v>157</v>
      </c>
      <c r="C6" s="4" t="s">
        <v>171</v>
      </c>
      <c r="D6" s="4" t="s">
        <v>153</v>
      </c>
      <c r="E6" s="4" t="s">
        <v>167</v>
      </c>
      <c r="F6" s="4" t="s">
        <v>172</v>
      </c>
      <c r="G6" s="4" t="s">
        <v>173</v>
      </c>
    </row>
    <row r="9" spans="1:7" x14ac:dyDescent="0.25">
      <c r="A9" s="8" t="s">
        <v>174</v>
      </c>
    </row>
    <row r="10" spans="1:7" x14ac:dyDescent="0.25">
      <c r="A10" s="8" t="s">
        <v>140</v>
      </c>
      <c r="B10" s="8" t="s">
        <v>141</v>
      </c>
      <c r="C10" s="8" t="s">
        <v>142</v>
      </c>
      <c r="D10" s="8" t="s">
        <v>175</v>
      </c>
      <c r="E10" s="8" t="s">
        <v>163</v>
      </c>
    </row>
    <row r="11" spans="1:7" x14ac:dyDescent="0.25">
      <c r="A11" s="9" t="s">
        <v>144</v>
      </c>
      <c r="B11" s="9" t="s">
        <v>145</v>
      </c>
      <c r="C11" s="9" t="s">
        <v>146</v>
      </c>
      <c r="D11" s="9" t="s">
        <v>176</v>
      </c>
      <c r="E11" s="9" t="s">
        <v>167</v>
      </c>
    </row>
    <row r="12" spans="1:7" x14ac:dyDescent="0.25">
      <c r="A12" s="9" t="s">
        <v>149</v>
      </c>
      <c r="B12" s="9" t="s">
        <v>145</v>
      </c>
      <c r="C12" s="9" t="s">
        <v>150</v>
      </c>
      <c r="D12" s="9" t="s">
        <v>176</v>
      </c>
      <c r="E12" s="9" t="s">
        <v>167</v>
      </c>
    </row>
    <row r="13" spans="1:7" x14ac:dyDescent="0.25">
      <c r="A13" s="9" t="s">
        <v>152</v>
      </c>
      <c r="B13" s="9" t="s">
        <v>145</v>
      </c>
      <c r="C13" s="9" t="s">
        <v>153</v>
      </c>
      <c r="D13" s="9" t="s">
        <v>176</v>
      </c>
      <c r="E13" s="9" t="s">
        <v>167</v>
      </c>
    </row>
    <row r="14" spans="1:7" ht="42.75" x14ac:dyDescent="0.25">
      <c r="A14" s="9" t="s">
        <v>156</v>
      </c>
      <c r="B14" s="9" t="s">
        <v>157</v>
      </c>
      <c r="C14" s="9" t="s">
        <v>153</v>
      </c>
      <c r="D14" s="9" t="s">
        <v>177</v>
      </c>
      <c r="E14" s="9" t="s">
        <v>167</v>
      </c>
    </row>
    <row r="17" spans="1:5" x14ac:dyDescent="0.25">
      <c r="A17" s="8" t="s">
        <v>178</v>
      </c>
    </row>
    <row r="18" spans="1:5" x14ac:dyDescent="0.25">
      <c r="A18" s="8" t="s">
        <v>140</v>
      </c>
      <c r="B18" s="8" t="s">
        <v>19</v>
      </c>
      <c r="C18" s="8" t="s">
        <v>179</v>
      </c>
      <c r="D18" s="8" t="s">
        <v>180</v>
      </c>
    </row>
    <row r="19" spans="1:5" ht="28.5" x14ac:dyDescent="0.25">
      <c r="A19" s="9" t="s">
        <v>181</v>
      </c>
      <c r="B19" s="9" t="s">
        <v>152</v>
      </c>
      <c r="C19" s="9" t="s">
        <v>156</v>
      </c>
      <c r="D19" s="9" t="s">
        <v>182</v>
      </c>
    </row>
    <row r="22" spans="1:5" x14ac:dyDescent="0.25">
      <c r="A22" s="8" t="s">
        <v>183</v>
      </c>
    </row>
    <row r="23" spans="1:5" x14ac:dyDescent="0.25">
      <c r="A23" s="8" t="s">
        <v>163</v>
      </c>
      <c r="B23" s="8" t="s">
        <v>184</v>
      </c>
      <c r="C23" s="8" t="s">
        <v>185</v>
      </c>
      <c r="D23" s="8" t="s">
        <v>186</v>
      </c>
      <c r="E23" s="8" t="s">
        <v>187</v>
      </c>
    </row>
    <row r="24" spans="1:5" ht="42.75" x14ac:dyDescent="0.25">
      <c r="A24" s="9" t="s">
        <v>188</v>
      </c>
      <c r="B24" s="9"/>
      <c r="C24" s="9" t="s">
        <v>189</v>
      </c>
      <c r="D24" s="9"/>
      <c r="E24" s="9"/>
    </row>
    <row r="27" spans="1:5" x14ac:dyDescent="0.25">
      <c r="A27" s="8" t="s">
        <v>190</v>
      </c>
    </row>
    <row r="28" spans="1:5" x14ac:dyDescent="0.25">
      <c r="A28" t="s">
        <v>191</v>
      </c>
      <c r="B28" t="s">
        <v>192</v>
      </c>
    </row>
  </sheetData>
  <pageMargins left="0.75" right="0.75" top="1" bottom="1" header="0.5" footer="0.5"/>
  <pageSetup paperSize="8" fitToHeight="0"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4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9" width="16" customWidth="1"/>
    <col min="10" max="10" width="24" customWidth="1"/>
    <col min="11" max="11" width="18" customWidth="1"/>
    <col min="12" max="14" width="16" customWidth="1"/>
    <col min="15" max="15" width="18" customWidth="1"/>
    <col min="16" max="16" width="20" customWidth="1"/>
    <col min="17" max="22" width="16" customWidth="1"/>
  </cols>
  <sheetData>
    <row r="1" spans="1:22" ht="20.25" x14ac:dyDescent="0.3">
      <c r="A1" s="1" t="s">
        <v>193</v>
      </c>
    </row>
    <row r="2" spans="1:22" ht="32.1" customHeight="1" x14ac:dyDescent="0.25">
      <c r="A2" s="2" t="s">
        <v>194</v>
      </c>
    </row>
    <row r="4" spans="1:22" ht="30" x14ac:dyDescent="0.25">
      <c r="A4" s="3" t="s">
        <v>140</v>
      </c>
      <c r="B4" s="3" t="s">
        <v>195</v>
      </c>
      <c r="C4" s="3" t="s">
        <v>196</v>
      </c>
      <c r="D4" s="3" t="s">
        <v>197</v>
      </c>
      <c r="E4" s="3" t="s">
        <v>198</v>
      </c>
      <c r="F4" s="3" t="s">
        <v>142</v>
      </c>
      <c r="G4" s="3" t="s">
        <v>199</v>
      </c>
      <c r="H4" s="3" t="s">
        <v>200</v>
      </c>
      <c r="I4" s="3" t="s">
        <v>201</v>
      </c>
      <c r="J4" s="3" t="s">
        <v>202</v>
      </c>
      <c r="K4" s="3" t="s">
        <v>203</v>
      </c>
      <c r="L4" s="3" t="s">
        <v>204</v>
      </c>
      <c r="M4" s="3" t="s">
        <v>205</v>
      </c>
      <c r="N4" s="3" t="s">
        <v>206</v>
      </c>
      <c r="O4" s="3" t="s">
        <v>207</v>
      </c>
      <c r="P4" s="3" t="s">
        <v>208</v>
      </c>
      <c r="Q4" s="3" t="s">
        <v>209</v>
      </c>
      <c r="R4" s="3" t="s">
        <v>210</v>
      </c>
      <c r="S4" s="3" t="s">
        <v>211</v>
      </c>
      <c r="T4" s="3" t="s">
        <v>19</v>
      </c>
      <c r="U4" s="3" t="s">
        <v>212</v>
      </c>
      <c r="V4" s="3" t="s">
        <v>20</v>
      </c>
    </row>
    <row r="5" spans="1:22" ht="99.75" x14ac:dyDescent="0.25">
      <c r="A5" s="4" t="s">
        <v>213</v>
      </c>
      <c r="B5" s="4" t="s">
        <v>214</v>
      </c>
      <c r="C5" s="4" t="s">
        <v>215</v>
      </c>
      <c r="D5" s="4" t="s">
        <v>216</v>
      </c>
      <c r="E5" s="4" t="s">
        <v>217</v>
      </c>
      <c r="F5" s="4" t="s">
        <v>218</v>
      </c>
      <c r="G5" s="4" t="s">
        <v>219</v>
      </c>
      <c r="H5" s="4" t="s">
        <v>220</v>
      </c>
      <c r="I5" s="4"/>
      <c r="J5" s="4" t="s">
        <v>221</v>
      </c>
      <c r="K5" s="4" t="s">
        <v>222</v>
      </c>
      <c r="L5" s="7">
        <v>2</v>
      </c>
      <c r="M5" s="7">
        <v>3</v>
      </c>
      <c r="N5" s="7">
        <v>5</v>
      </c>
      <c r="O5" s="10" t="str">
        <f t="shared" ref="O5:O14" si="0">IF(P5="",scenario_global,P5)</f>
        <v>Standard</v>
      </c>
      <c r="P5" s="4"/>
      <c r="Q5" s="11">
        <f t="shared" ref="Q5:Q14" si="1">IF(O5="Economique",L5,IF(O5="Standard",M5,N5))</f>
        <v>3</v>
      </c>
      <c r="R5" s="4" t="s">
        <v>223</v>
      </c>
      <c r="S5" s="4" t="s">
        <v>224</v>
      </c>
      <c r="T5" s="4" t="s">
        <v>25</v>
      </c>
      <c r="U5" s="4" t="s">
        <v>225</v>
      </c>
      <c r="V5" s="4" t="s">
        <v>226</v>
      </c>
    </row>
    <row r="6" spans="1:22" ht="28.5" x14ac:dyDescent="0.25">
      <c r="A6" s="4" t="s">
        <v>227</v>
      </c>
      <c r="B6" s="4" t="s">
        <v>214</v>
      </c>
      <c r="C6" s="4" t="s">
        <v>228</v>
      </c>
      <c r="D6" s="4" t="s">
        <v>229</v>
      </c>
      <c r="E6" s="4" t="s">
        <v>230</v>
      </c>
      <c r="F6" s="4" t="s">
        <v>218</v>
      </c>
      <c r="G6" s="4" t="s">
        <v>231</v>
      </c>
      <c r="H6" s="4" t="s">
        <v>232</v>
      </c>
      <c r="I6" s="4" t="s">
        <v>213</v>
      </c>
      <c r="J6" s="4" t="s">
        <v>233</v>
      </c>
      <c r="K6" s="4" t="s">
        <v>234</v>
      </c>
      <c r="L6" s="7">
        <v>1</v>
      </c>
      <c r="M6" s="7">
        <v>2</v>
      </c>
      <c r="N6" s="7">
        <v>4</v>
      </c>
      <c r="O6" s="10" t="str">
        <f t="shared" si="0"/>
        <v>Resilient</v>
      </c>
      <c r="P6" s="4" t="s">
        <v>235</v>
      </c>
      <c r="Q6" s="11">
        <f t="shared" si="1"/>
        <v>4</v>
      </c>
      <c r="R6" s="4" t="s">
        <v>223</v>
      </c>
      <c r="S6" s="4" t="s">
        <v>236</v>
      </c>
      <c r="T6" s="4" t="s">
        <v>25</v>
      </c>
      <c r="U6" s="4" t="s">
        <v>225</v>
      </c>
      <c r="V6" s="4" t="s">
        <v>237</v>
      </c>
    </row>
    <row r="7" spans="1:22" ht="28.5" x14ac:dyDescent="0.25">
      <c r="A7" s="4" t="s">
        <v>238</v>
      </c>
      <c r="B7" s="4" t="s">
        <v>239</v>
      </c>
      <c r="C7" s="4" t="s">
        <v>240</v>
      </c>
      <c r="D7" s="4" t="s">
        <v>241</v>
      </c>
      <c r="E7" s="4" t="s">
        <v>242</v>
      </c>
      <c r="F7" s="4" t="s">
        <v>218</v>
      </c>
      <c r="G7" s="4" t="s">
        <v>243</v>
      </c>
      <c r="H7" s="4" t="s">
        <v>244</v>
      </c>
      <c r="I7" s="4" t="s">
        <v>213</v>
      </c>
      <c r="J7" s="4" t="s">
        <v>245</v>
      </c>
      <c r="K7" s="4" t="s">
        <v>246</v>
      </c>
      <c r="L7" s="7">
        <v>2</v>
      </c>
      <c r="M7" s="7">
        <v>3</v>
      </c>
      <c r="N7" s="7">
        <v>5</v>
      </c>
      <c r="O7" s="10" t="str">
        <f t="shared" si="0"/>
        <v>Standard</v>
      </c>
      <c r="P7" s="4"/>
      <c r="Q7" s="11">
        <f t="shared" si="1"/>
        <v>3</v>
      </c>
      <c r="R7" s="4" t="s">
        <v>223</v>
      </c>
      <c r="S7" s="4" t="s">
        <v>236</v>
      </c>
      <c r="T7" s="4" t="s">
        <v>25</v>
      </c>
      <c r="U7" s="4" t="s">
        <v>225</v>
      </c>
      <c r="V7" s="4" t="s">
        <v>247</v>
      </c>
    </row>
    <row r="8" spans="1:22" ht="114" x14ac:dyDescent="0.25">
      <c r="A8" s="4" t="s">
        <v>248</v>
      </c>
      <c r="B8" s="4" t="s">
        <v>239</v>
      </c>
      <c r="C8" s="4" t="s">
        <v>249</v>
      </c>
      <c r="D8" s="4" t="s">
        <v>250</v>
      </c>
      <c r="E8" s="4" t="s">
        <v>251</v>
      </c>
      <c r="F8" s="4" t="s">
        <v>150</v>
      </c>
      <c r="G8" s="4" t="s">
        <v>252</v>
      </c>
      <c r="H8" s="4" t="s">
        <v>253</v>
      </c>
      <c r="I8" s="4" t="s">
        <v>238</v>
      </c>
      <c r="J8" s="4" t="s">
        <v>254</v>
      </c>
      <c r="K8" s="4" t="s">
        <v>255</v>
      </c>
      <c r="L8" s="7">
        <v>1</v>
      </c>
      <c r="M8" s="7">
        <v>2</v>
      </c>
      <c r="N8" s="7">
        <v>3</v>
      </c>
      <c r="O8" s="10" t="str">
        <f t="shared" si="0"/>
        <v>Standard</v>
      </c>
      <c r="P8" s="4"/>
      <c r="Q8" s="11">
        <f t="shared" si="1"/>
        <v>2</v>
      </c>
      <c r="R8" s="4" t="s">
        <v>223</v>
      </c>
      <c r="S8" s="4" t="s">
        <v>236</v>
      </c>
      <c r="T8" s="4" t="s">
        <v>25</v>
      </c>
      <c r="U8" s="4" t="s">
        <v>256</v>
      </c>
      <c r="V8" s="4" t="s">
        <v>257</v>
      </c>
    </row>
    <row r="9" spans="1:22" ht="228" x14ac:dyDescent="0.25">
      <c r="A9" s="4" t="s">
        <v>258</v>
      </c>
      <c r="B9" s="4" t="s">
        <v>259</v>
      </c>
      <c r="C9" s="4" t="s">
        <v>260</v>
      </c>
      <c r="D9" s="4" t="s">
        <v>261</v>
      </c>
      <c r="E9" s="4" t="s">
        <v>262</v>
      </c>
      <c r="F9" s="4" t="s">
        <v>153</v>
      </c>
      <c r="G9" s="4" t="s">
        <v>219</v>
      </c>
      <c r="H9" s="4" t="s">
        <v>263</v>
      </c>
      <c r="I9" s="4" t="s">
        <v>264</v>
      </c>
      <c r="J9" s="4" t="s">
        <v>265</v>
      </c>
      <c r="K9" s="4" t="s">
        <v>266</v>
      </c>
      <c r="L9" s="7">
        <v>1</v>
      </c>
      <c r="M9" s="7">
        <v>2</v>
      </c>
      <c r="N9" s="7">
        <v>4</v>
      </c>
      <c r="O9" s="10" t="str">
        <f t="shared" si="0"/>
        <v>Standard</v>
      </c>
      <c r="P9" s="4"/>
      <c r="Q9" s="11">
        <f t="shared" si="1"/>
        <v>2</v>
      </c>
      <c r="R9" s="4" t="s">
        <v>223</v>
      </c>
      <c r="S9" s="4" t="s">
        <v>236</v>
      </c>
      <c r="T9" s="4" t="s">
        <v>25</v>
      </c>
      <c r="U9" s="4" t="s">
        <v>225</v>
      </c>
      <c r="V9" s="4" t="s">
        <v>267</v>
      </c>
    </row>
    <row r="10" spans="1:22" ht="57" x14ac:dyDescent="0.25">
      <c r="A10" s="4" t="s">
        <v>268</v>
      </c>
      <c r="B10" s="4" t="s">
        <v>259</v>
      </c>
      <c r="C10" s="4" t="s">
        <v>269</v>
      </c>
      <c r="D10" s="4" t="s">
        <v>270</v>
      </c>
      <c r="E10" s="4" t="s">
        <v>271</v>
      </c>
      <c r="F10" s="4" t="s">
        <v>153</v>
      </c>
      <c r="G10" s="4" t="s">
        <v>272</v>
      </c>
      <c r="H10" s="4" t="s">
        <v>273</v>
      </c>
      <c r="I10" s="4" t="s">
        <v>258</v>
      </c>
      <c r="J10" s="4" t="s">
        <v>274</v>
      </c>
      <c r="K10" s="4" t="s">
        <v>275</v>
      </c>
      <c r="L10" s="7">
        <v>0.5</v>
      </c>
      <c r="M10" s="7">
        <v>1</v>
      </c>
      <c r="N10" s="7">
        <v>2</v>
      </c>
      <c r="O10" s="10" t="str">
        <f t="shared" si="0"/>
        <v>Standard</v>
      </c>
      <c r="P10" s="4"/>
      <c r="Q10" s="11">
        <f t="shared" si="1"/>
        <v>1</v>
      </c>
      <c r="R10" s="4" t="s">
        <v>276</v>
      </c>
      <c r="S10" s="4" t="s">
        <v>236</v>
      </c>
      <c r="T10" s="4" t="s">
        <v>25</v>
      </c>
      <c r="U10" s="4" t="s">
        <v>225</v>
      </c>
      <c r="V10" s="4" t="s">
        <v>277</v>
      </c>
    </row>
    <row r="11" spans="1:22" ht="85.5" x14ac:dyDescent="0.25">
      <c r="A11" s="4" t="s">
        <v>278</v>
      </c>
      <c r="B11" s="4" t="s">
        <v>259</v>
      </c>
      <c r="C11" s="4" t="s">
        <v>269</v>
      </c>
      <c r="D11" s="4" t="s">
        <v>279</v>
      </c>
      <c r="E11" s="4" t="s">
        <v>280</v>
      </c>
      <c r="F11" s="4" t="s">
        <v>218</v>
      </c>
      <c r="G11" s="4" t="s">
        <v>219</v>
      </c>
      <c r="H11" s="4" t="s">
        <v>220</v>
      </c>
      <c r="I11" s="4" t="s">
        <v>258</v>
      </c>
      <c r="J11" s="4" t="s">
        <v>281</v>
      </c>
      <c r="K11" s="4" t="s">
        <v>282</v>
      </c>
      <c r="L11" s="7">
        <v>1</v>
      </c>
      <c r="M11" s="7">
        <v>2</v>
      </c>
      <c r="N11" s="7">
        <v>3</v>
      </c>
      <c r="O11" s="10" t="str">
        <f t="shared" si="0"/>
        <v>Standard</v>
      </c>
      <c r="P11" s="4"/>
      <c r="Q11" s="11">
        <f t="shared" si="1"/>
        <v>2</v>
      </c>
      <c r="R11" s="4" t="s">
        <v>223</v>
      </c>
      <c r="S11" s="4" t="s">
        <v>236</v>
      </c>
      <c r="T11" s="4" t="s">
        <v>25</v>
      </c>
      <c r="U11" s="4" t="s">
        <v>225</v>
      </c>
      <c r="V11" s="4" t="s">
        <v>283</v>
      </c>
    </row>
    <row r="12" spans="1:22" ht="71.25" x14ac:dyDescent="0.25">
      <c r="A12" s="4" t="s">
        <v>284</v>
      </c>
      <c r="B12" s="4" t="s">
        <v>239</v>
      </c>
      <c r="C12" s="4" t="s">
        <v>285</v>
      </c>
      <c r="D12" s="4" t="s">
        <v>286</v>
      </c>
      <c r="E12" s="4" t="s">
        <v>287</v>
      </c>
      <c r="F12" s="4" t="s">
        <v>218</v>
      </c>
      <c r="G12" s="4" t="s">
        <v>219</v>
      </c>
      <c r="H12" s="4" t="s">
        <v>220</v>
      </c>
      <c r="I12" s="4" t="s">
        <v>238</v>
      </c>
      <c r="J12" s="4" t="s">
        <v>288</v>
      </c>
      <c r="K12" s="4" t="s">
        <v>289</v>
      </c>
      <c r="L12" s="7">
        <v>0.5</v>
      </c>
      <c r="M12" s="7">
        <v>1</v>
      </c>
      <c r="N12" s="7">
        <v>2</v>
      </c>
      <c r="O12" s="10" t="str">
        <f t="shared" si="0"/>
        <v>Standard</v>
      </c>
      <c r="P12" s="4"/>
      <c r="Q12" s="11">
        <f t="shared" si="1"/>
        <v>1</v>
      </c>
      <c r="R12" s="4" t="s">
        <v>223</v>
      </c>
      <c r="S12" s="4" t="s">
        <v>236</v>
      </c>
      <c r="T12" s="4" t="s">
        <v>25</v>
      </c>
      <c r="U12" s="4" t="s">
        <v>225</v>
      </c>
      <c r="V12" s="4" t="s">
        <v>283</v>
      </c>
    </row>
    <row r="13" spans="1:22" ht="85.5" x14ac:dyDescent="0.25">
      <c r="A13" s="4" t="s">
        <v>290</v>
      </c>
      <c r="B13" s="4" t="s">
        <v>214</v>
      </c>
      <c r="C13" s="4" t="s">
        <v>291</v>
      </c>
      <c r="D13" s="4" t="s">
        <v>292</v>
      </c>
      <c r="E13" s="4" t="s">
        <v>293</v>
      </c>
      <c r="F13" s="4" t="s">
        <v>218</v>
      </c>
      <c r="G13" s="4" t="s">
        <v>219</v>
      </c>
      <c r="H13" s="4" t="s">
        <v>220</v>
      </c>
      <c r="I13" s="4" t="s">
        <v>213</v>
      </c>
      <c r="J13" s="4" t="s">
        <v>294</v>
      </c>
      <c r="K13" s="4" t="s">
        <v>295</v>
      </c>
      <c r="L13" s="7">
        <v>0.5</v>
      </c>
      <c r="M13" s="7">
        <v>1</v>
      </c>
      <c r="N13" s="7">
        <v>2</v>
      </c>
      <c r="O13" s="10" t="str">
        <f t="shared" si="0"/>
        <v>Standard</v>
      </c>
      <c r="P13" s="4"/>
      <c r="Q13" s="11">
        <f t="shared" si="1"/>
        <v>1</v>
      </c>
      <c r="R13" s="4" t="s">
        <v>223</v>
      </c>
      <c r="S13" s="4" t="s">
        <v>236</v>
      </c>
      <c r="T13" s="4" t="s">
        <v>25</v>
      </c>
      <c r="U13" s="4" t="s">
        <v>225</v>
      </c>
      <c r="V13" s="4" t="s">
        <v>283</v>
      </c>
    </row>
    <row r="14" spans="1:22" ht="85.5" x14ac:dyDescent="0.25">
      <c r="A14" s="4" t="s">
        <v>296</v>
      </c>
      <c r="B14" s="4" t="s">
        <v>214</v>
      </c>
      <c r="C14" s="4" t="s">
        <v>297</v>
      </c>
      <c r="D14" s="4" t="s">
        <v>298</v>
      </c>
      <c r="E14" s="4" t="s">
        <v>299</v>
      </c>
      <c r="F14" s="4" t="s">
        <v>218</v>
      </c>
      <c r="G14" s="4" t="s">
        <v>219</v>
      </c>
      <c r="H14" s="4" t="s">
        <v>220</v>
      </c>
      <c r="I14" s="4" t="s">
        <v>213</v>
      </c>
      <c r="J14" s="4" t="s">
        <v>300</v>
      </c>
      <c r="K14" s="4" t="s">
        <v>301</v>
      </c>
      <c r="L14" s="7">
        <v>0.5</v>
      </c>
      <c r="M14" s="7">
        <v>1</v>
      </c>
      <c r="N14" s="7">
        <v>2</v>
      </c>
      <c r="O14" s="10" t="str">
        <f t="shared" si="0"/>
        <v>Standard</v>
      </c>
      <c r="P14" s="4"/>
      <c r="Q14" s="11">
        <f t="shared" si="1"/>
        <v>1</v>
      </c>
      <c r="R14" s="4" t="s">
        <v>223</v>
      </c>
      <c r="S14" s="4" t="s">
        <v>236</v>
      </c>
      <c r="T14" s="4" t="s">
        <v>25</v>
      </c>
      <c r="U14" s="4" t="s">
        <v>225</v>
      </c>
      <c r="V14" s="4" t="s">
        <v>283</v>
      </c>
    </row>
  </sheetData>
  <dataValidations count="1">
    <dataValidation type="list" allowBlank="1" showErrorMessage="1" errorTitle="Scenario invalide" error="Choisir un scenario de la liste." sqref="P5:P14" xr:uid="{00000000-0002-0000-0400-000000000000}">
      <formula1>"Economique,Standard,Resilient"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31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7" width="16" customWidth="1"/>
    <col min="8" max="8" width="22" customWidth="1"/>
    <col min="9" max="9" width="16" customWidth="1"/>
    <col min="10" max="10" width="25" customWidth="1"/>
    <col min="11" max="11" width="21" customWidth="1"/>
    <col min="12" max="12" width="20" customWidth="1"/>
    <col min="13" max="16" width="16" customWidth="1"/>
  </cols>
  <sheetData>
    <row r="1" spans="1:16" ht="20.25" x14ac:dyDescent="0.3">
      <c r="A1" s="1" t="s">
        <v>302</v>
      </c>
    </row>
    <row r="2" spans="1:16" ht="32.1" customHeight="1" x14ac:dyDescent="0.25">
      <c r="A2" s="2" t="s">
        <v>303</v>
      </c>
    </row>
    <row r="4" spans="1:16" ht="30" x14ac:dyDescent="0.25">
      <c r="A4" s="3" t="s">
        <v>140</v>
      </c>
      <c r="B4" s="3" t="s">
        <v>163</v>
      </c>
      <c r="C4" s="3" t="s">
        <v>304</v>
      </c>
      <c r="D4" s="3" t="s">
        <v>142</v>
      </c>
      <c r="E4" s="3" t="s">
        <v>305</v>
      </c>
      <c r="F4" s="3" t="s">
        <v>17</v>
      </c>
      <c r="G4" s="3" t="s">
        <v>143</v>
      </c>
      <c r="H4" s="3" t="s">
        <v>306</v>
      </c>
      <c r="I4" s="3" t="s">
        <v>307</v>
      </c>
      <c r="J4" s="3" t="s">
        <v>308</v>
      </c>
      <c r="K4" s="3" t="s">
        <v>309</v>
      </c>
      <c r="L4" s="3" t="s">
        <v>310</v>
      </c>
      <c r="M4" s="3" t="s">
        <v>19</v>
      </c>
      <c r="N4" s="3" t="s">
        <v>212</v>
      </c>
      <c r="O4" s="3" t="s">
        <v>20</v>
      </c>
      <c r="P4" s="3" t="s">
        <v>311</v>
      </c>
    </row>
    <row r="5" spans="1:16" ht="156.75" x14ac:dyDescent="0.25">
      <c r="A5" s="4" t="s">
        <v>312</v>
      </c>
      <c r="B5" s="4" t="s">
        <v>167</v>
      </c>
      <c r="C5" s="4" t="s">
        <v>168</v>
      </c>
      <c r="D5" s="4" t="s">
        <v>153</v>
      </c>
      <c r="E5" s="4" t="s">
        <v>313</v>
      </c>
      <c r="F5" s="4" t="s">
        <v>314</v>
      </c>
      <c r="G5" s="7">
        <v>1</v>
      </c>
      <c r="H5" s="7">
        <v>45</v>
      </c>
      <c r="I5" s="4" t="s">
        <v>9</v>
      </c>
      <c r="J5" s="7">
        <v>1</v>
      </c>
      <c r="K5" s="11">
        <f t="shared" ref="K5:K31" si="0">G5*H5*J5</f>
        <v>45</v>
      </c>
      <c r="L5" s="10">
        <f t="shared" ref="L5:L31" si="1">K5*mois_par_an</f>
        <v>540</v>
      </c>
      <c r="M5" s="4" t="s">
        <v>25</v>
      </c>
      <c r="N5" s="4" t="s">
        <v>256</v>
      </c>
      <c r="O5" s="4" t="s">
        <v>315</v>
      </c>
      <c r="P5" s="4" t="s">
        <v>29</v>
      </c>
    </row>
    <row r="6" spans="1:16" ht="156.75" x14ac:dyDescent="0.25">
      <c r="A6" s="4" t="s">
        <v>316</v>
      </c>
      <c r="B6" s="4" t="s">
        <v>167</v>
      </c>
      <c r="C6" s="4" t="s">
        <v>317</v>
      </c>
      <c r="D6" s="4" t="s">
        <v>318</v>
      </c>
      <c r="E6" s="4" t="s">
        <v>313</v>
      </c>
      <c r="F6" s="4" t="s">
        <v>314</v>
      </c>
      <c r="G6" s="7">
        <v>2</v>
      </c>
      <c r="H6" s="7">
        <v>45</v>
      </c>
      <c r="I6" s="4" t="s">
        <v>9</v>
      </c>
      <c r="J6" s="7">
        <v>0.5</v>
      </c>
      <c r="K6" s="11">
        <f t="shared" si="0"/>
        <v>45</v>
      </c>
      <c r="L6" s="10">
        <f t="shared" si="1"/>
        <v>540</v>
      </c>
      <c r="M6" s="4" t="s">
        <v>25</v>
      </c>
      <c r="N6" s="4" t="s">
        <v>256</v>
      </c>
      <c r="O6" s="4" t="s">
        <v>315</v>
      </c>
      <c r="P6" s="4" t="s">
        <v>29</v>
      </c>
    </row>
    <row r="7" spans="1:16" ht="156.75" x14ac:dyDescent="0.25">
      <c r="A7" s="4" t="s">
        <v>319</v>
      </c>
      <c r="B7" s="4" t="s">
        <v>167</v>
      </c>
      <c r="C7" s="4" t="s">
        <v>320</v>
      </c>
      <c r="D7" s="4" t="s">
        <v>153</v>
      </c>
      <c r="E7" s="4" t="s">
        <v>313</v>
      </c>
      <c r="F7" s="4" t="s">
        <v>314</v>
      </c>
      <c r="G7" s="7">
        <v>1</v>
      </c>
      <c r="H7" s="7">
        <v>24</v>
      </c>
      <c r="I7" s="4" t="s">
        <v>9</v>
      </c>
      <c r="J7" s="7">
        <v>1</v>
      </c>
      <c r="K7" s="11">
        <f t="shared" si="0"/>
        <v>24</v>
      </c>
      <c r="L7" s="10">
        <f t="shared" si="1"/>
        <v>288</v>
      </c>
      <c r="M7" s="4" t="s">
        <v>25</v>
      </c>
      <c r="N7" s="4" t="s">
        <v>256</v>
      </c>
      <c r="O7" s="4" t="s">
        <v>315</v>
      </c>
      <c r="P7" s="4" t="s">
        <v>29</v>
      </c>
    </row>
    <row r="8" spans="1:16" ht="156.75" x14ac:dyDescent="0.25">
      <c r="A8" s="4" t="s">
        <v>321</v>
      </c>
      <c r="B8" s="4" t="s">
        <v>167</v>
      </c>
      <c r="C8" s="4" t="s">
        <v>168</v>
      </c>
      <c r="D8" s="4" t="s">
        <v>153</v>
      </c>
      <c r="E8" s="4" t="s">
        <v>22</v>
      </c>
      <c r="F8" s="4" t="s">
        <v>314</v>
      </c>
      <c r="G8" s="7">
        <v>2</v>
      </c>
      <c r="H8" s="7">
        <v>45</v>
      </c>
      <c r="I8" s="4" t="s">
        <v>9</v>
      </c>
      <c r="J8" s="7">
        <v>1</v>
      </c>
      <c r="K8" s="11">
        <f t="shared" si="0"/>
        <v>90</v>
      </c>
      <c r="L8" s="10">
        <f t="shared" si="1"/>
        <v>1080</v>
      </c>
      <c r="M8" s="4" t="s">
        <v>25</v>
      </c>
      <c r="N8" s="4" t="s">
        <v>256</v>
      </c>
      <c r="O8" s="4" t="s">
        <v>315</v>
      </c>
      <c r="P8" s="4" t="s">
        <v>29</v>
      </c>
    </row>
    <row r="9" spans="1:16" ht="156.75" x14ac:dyDescent="0.25">
      <c r="A9" s="4" t="s">
        <v>322</v>
      </c>
      <c r="B9" s="4" t="s">
        <v>167</v>
      </c>
      <c r="C9" s="4" t="s">
        <v>317</v>
      </c>
      <c r="D9" s="4" t="s">
        <v>318</v>
      </c>
      <c r="E9" s="4" t="s">
        <v>22</v>
      </c>
      <c r="F9" s="4" t="s">
        <v>314</v>
      </c>
      <c r="G9" s="7">
        <v>2</v>
      </c>
      <c r="H9" s="7">
        <v>45</v>
      </c>
      <c r="I9" s="4" t="s">
        <v>9</v>
      </c>
      <c r="J9" s="7">
        <v>0.5</v>
      </c>
      <c r="K9" s="11">
        <f t="shared" si="0"/>
        <v>45</v>
      </c>
      <c r="L9" s="10">
        <f t="shared" si="1"/>
        <v>540</v>
      </c>
      <c r="M9" s="4" t="s">
        <v>25</v>
      </c>
      <c r="N9" s="4" t="s">
        <v>256</v>
      </c>
      <c r="O9" s="4" t="s">
        <v>315</v>
      </c>
      <c r="P9" s="4" t="s">
        <v>29</v>
      </c>
    </row>
    <row r="10" spans="1:16" ht="156.75" x14ac:dyDescent="0.25">
      <c r="A10" s="4" t="s">
        <v>323</v>
      </c>
      <c r="B10" s="4" t="s">
        <v>167</v>
      </c>
      <c r="C10" s="4" t="s">
        <v>320</v>
      </c>
      <c r="D10" s="4" t="s">
        <v>153</v>
      </c>
      <c r="E10" s="4" t="s">
        <v>22</v>
      </c>
      <c r="F10" s="4" t="s">
        <v>314</v>
      </c>
      <c r="G10" s="7">
        <v>1</v>
      </c>
      <c r="H10" s="7">
        <v>36</v>
      </c>
      <c r="I10" s="4" t="s">
        <v>9</v>
      </c>
      <c r="J10" s="7">
        <v>1</v>
      </c>
      <c r="K10" s="11">
        <f t="shared" si="0"/>
        <v>36</v>
      </c>
      <c r="L10" s="10">
        <f t="shared" si="1"/>
        <v>432</v>
      </c>
      <c r="M10" s="4" t="s">
        <v>25</v>
      </c>
      <c r="N10" s="4" t="s">
        <v>256</v>
      </c>
      <c r="O10" s="4" t="s">
        <v>315</v>
      </c>
      <c r="P10" s="4" t="s">
        <v>29</v>
      </c>
    </row>
    <row r="11" spans="1:16" ht="156.75" x14ac:dyDescent="0.25">
      <c r="A11" s="4" t="s">
        <v>324</v>
      </c>
      <c r="B11" s="4" t="s">
        <v>167</v>
      </c>
      <c r="C11" s="4" t="s">
        <v>168</v>
      </c>
      <c r="D11" s="4" t="s">
        <v>153</v>
      </c>
      <c r="E11" s="4" t="s">
        <v>235</v>
      </c>
      <c r="F11" s="4" t="s">
        <v>314</v>
      </c>
      <c r="G11" s="7">
        <v>3</v>
      </c>
      <c r="H11" s="7">
        <v>45</v>
      </c>
      <c r="I11" s="4" t="s">
        <v>9</v>
      </c>
      <c r="J11" s="7">
        <v>1</v>
      </c>
      <c r="K11" s="11">
        <f t="shared" si="0"/>
        <v>135</v>
      </c>
      <c r="L11" s="10">
        <f t="shared" si="1"/>
        <v>1620</v>
      </c>
      <c r="M11" s="4" t="s">
        <v>25</v>
      </c>
      <c r="N11" s="4" t="s">
        <v>256</v>
      </c>
      <c r="O11" s="4" t="s">
        <v>315</v>
      </c>
      <c r="P11" s="4" t="s">
        <v>29</v>
      </c>
    </row>
    <row r="12" spans="1:16" ht="156.75" x14ac:dyDescent="0.25">
      <c r="A12" s="4" t="s">
        <v>325</v>
      </c>
      <c r="B12" s="4" t="s">
        <v>167</v>
      </c>
      <c r="C12" s="4" t="s">
        <v>317</v>
      </c>
      <c r="D12" s="4" t="s">
        <v>318</v>
      </c>
      <c r="E12" s="4" t="s">
        <v>235</v>
      </c>
      <c r="F12" s="4" t="s">
        <v>314</v>
      </c>
      <c r="G12" s="7">
        <v>2</v>
      </c>
      <c r="H12" s="7">
        <v>45</v>
      </c>
      <c r="I12" s="4" t="s">
        <v>9</v>
      </c>
      <c r="J12" s="7">
        <v>0.5</v>
      </c>
      <c r="K12" s="11">
        <f t="shared" si="0"/>
        <v>45</v>
      </c>
      <c r="L12" s="10">
        <f t="shared" si="1"/>
        <v>540</v>
      </c>
      <c r="M12" s="4" t="s">
        <v>25</v>
      </c>
      <c r="N12" s="4" t="s">
        <v>256</v>
      </c>
      <c r="O12" s="4" t="s">
        <v>315</v>
      </c>
      <c r="P12" s="4" t="s">
        <v>29</v>
      </c>
    </row>
    <row r="13" spans="1:16" ht="156.75" x14ac:dyDescent="0.25">
      <c r="A13" s="4" t="s">
        <v>326</v>
      </c>
      <c r="B13" s="4" t="s">
        <v>167</v>
      </c>
      <c r="C13" s="4" t="s">
        <v>320</v>
      </c>
      <c r="D13" s="4" t="s">
        <v>153</v>
      </c>
      <c r="E13" s="4" t="s">
        <v>235</v>
      </c>
      <c r="F13" s="4" t="s">
        <v>314</v>
      </c>
      <c r="G13" s="7">
        <v>1</v>
      </c>
      <c r="H13" s="7">
        <v>60</v>
      </c>
      <c r="I13" s="4" t="s">
        <v>9</v>
      </c>
      <c r="J13" s="7">
        <v>1</v>
      </c>
      <c r="K13" s="11">
        <f t="shared" si="0"/>
        <v>60</v>
      </c>
      <c r="L13" s="10">
        <f t="shared" si="1"/>
        <v>720</v>
      </c>
      <c r="M13" s="4" t="s">
        <v>25</v>
      </c>
      <c r="N13" s="4" t="s">
        <v>256</v>
      </c>
      <c r="O13" s="4" t="s">
        <v>315</v>
      </c>
      <c r="P13" s="4" t="s">
        <v>29</v>
      </c>
    </row>
    <row r="14" spans="1:16" ht="156.75" x14ac:dyDescent="0.25">
      <c r="A14" s="4" t="s">
        <v>327</v>
      </c>
      <c r="B14" s="4" t="s">
        <v>328</v>
      </c>
      <c r="C14" s="4" t="s">
        <v>168</v>
      </c>
      <c r="D14" s="4" t="s">
        <v>153</v>
      </c>
      <c r="E14" s="4" t="s">
        <v>313</v>
      </c>
      <c r="F14" s="4" t="s">
        <v>314</v>
      </c>
      <c r="G14" s="7">
        <v>1</v>
      </c>
      <c r="H14" s="7">
        <v>50</v>
      </c>
      <c r="I14" s="4" t="s">
        <v>9</v>
      </c>
      <c r="J14" s="7">
        <v>1</v>
      </c>
      <c r="K14" s="11">
        <f t="shared" si="0"/>
        <v>50</v>
      </c>
      <c r="L14" s="10">
        <f t="shared" si="1"/>
        <v>600</v>
      </c>
      <c r="M14" s="4" t="s">
        <v>25</v>
      </c>
      <c r="N14" s="4" t="s">
        <v>256</v>
      </c>
      <c r="O14" s="4" t="s">
        <v>315</v>
      </c>
      <c r="P14" s="4" t="s">
        <v>29</v>
      </c>
    </row>
    <row r="15" spans="1:16" ht="156.75" x14ac:dyDescent="0.25">
      <c r="A15" s="4" t="s">
        <v>329</v>
      </c>
      <c r="B15" s="4" t="s">
        <v>328</v>
      </c>
      <c r="C15" s="4" t="s">
        <v>317</v>
      </c>
      <c r="D15" s="4" t="s">
        <v>318</v>
      </c>
      <c r="E15" s="4" t="s">
        <v>313</v>
      </c>
      <c r="F15" s="4" t="s">
        <v>314</v>
      </c>
      <c r="G15" s="7">
        <v>2</v>
      </c>
      <c r="H15" s="7">
        <v>50</v>
      </c>
      <c r="I15" s="4" t="s">
        <v>9</v>
      </c>
      <c r="J15" s="7">
        <v>0.5</v>
      </c>
      <c r="K15" s="11">
        <f t="shared" si="0"/>
        <v>50</v>
      </c>
      <c r="L15" s="10">
        <f t="shared" si="1"/>
        <v>600</v>
      </c>
      <c r="M15" s="4" t="s">
        <v>25</v>
      </c>
      <c r="N15" s="4" t="s">
        <v>256</v>
      </c>
      <c r="O15" s="4" t="s">
        <v>315</v>
      </c>
      <c r="P15" s="4" t="s">
        <v>29</v>
      </c>
    </row>
    <row r="16" spans="1:16" ht="156.75" x14ac:dyDescent="0.25">
      <c r="A16" s="4" t="s">
        <v>330</v>
      </c>
      <c r="B16" s="4" t="s">
        <v>328</v>
      </c>
      <c r="C16" s="4" t="s">
        <v>320</v>
      </c>
      <c r="D16" s="4" t="s">
        <v>153</v>
      </c>
      <c r="E16" s="4" t="s">
        <v>313</v>
      </c>
      <c r="F16" s="4" t="s">
        <v>314</v>
      </c>
      <c r="G16" s="7">
        <v>1</v>
      </c>
      <c r="H16" s="7">
        <v>24</v>
      </c>
      <c r="I16" s="4" t="s">
        <v>9</v>
      </c>
      <c r="J16" s="7">
        <v>1</v>
      </c>
      <c r="K16" s="11">
        <f t="shared" si="0"/>
        <v>24</v>
      </c>
      <c r="L16" s="10">
        <f t="shared" si="1"/>
        <v>288</v>
      </c>
      <c r="M16" s="4" t="s">
        <v>25</v>
      </c>
      <c r="N16" s="4" t="s">
        <v>256</v>
      </c>
      <c r="O16" s="4" t="s">
        <v>315</v>
      </c>
      <c r="P16" s="4" t="s">
        <v>29</v>
      </c>
    </row>
    <row r="17" spans="1:16" ht="156.75" x14ac:dyDescent="0.25">
      <c r="A17" s="4" t="s">
        <v>331</v>
      </c>
      <c r="B17" s="4" t="s">
        <v>328</v>
      </c>
      <c r="C17" s="4" t="s">
        <v>168</v>
      </c>
      <c r="D17" s="4" t="s">
        <v>153</v>
      </c>
      <c r="E17" s="4" t="s">
        <v>22</v>
      </c>
      <c r="F17" s="4" t="s">
        <v>314</v>
      </c>
      <c r="G17" s="7">
        <v>2</v>
      </c>
      <c r="H17" s="7">
        <v>50</v>
      </c>
      <c r="I17" s="4" t="s">
        <v>9</v>
      </c>
      <c r="J17" s="7">
        <v>1</v>
      </c>
      <c r="K17" s="11">
        <f t="shared" si="0"/>
        <v>100</v>
      </c>
      <c r="L17" s="10">
        <f t="shared" si="1"/>
        <v>1200</v>
      </c>
      <c r="M17" s="4" t="s">
        <v>25</v>
      </c>
      <c r="N17" s="4" t="s">
        <v>256</v>
      </c>
      <c r="O17" s="4" t="s">
        <v>315</v>
      </c>
      <c r="P17" s="4" t="s">
        <v>29</v>
      </c>
    </row>
    <row r="18" spans="1:16" ht="156.75" x14ac:dyDescent="0.25">
      <c r="A18" s="4" t="s">
        <v>332</v>
      </c>
      <c r="B18" s="4" t="s">
        <v>328</v>
      </c>
      <c r="C18" s="4" t="s">
        <v>317</v>
      </c>
      <c r="D18" s="4" t="s">
        <v>318</v>
      </c>
      <c r="E18" s="4" t="s">
        <v>22</v>
      </c>
      <c r="F18" s="4" t="s">
        <v>314</v>
      </c>
      <c r="G18" s="7">
        <v>2</v>
      </c>
      <c r="H18" s="7">
        <v>50</v>
      </c>
      <c r="I18" s="4" t="s">
        <v>9</v>
      </c>
      <c r="J18" s="7">
        <v>0.5</v>
      </c>
      <c r="K18" s="11">
        <f t="shared" si="0"/>
        <v>50</v>
      </c>
      <c r="L18" s="10">
        <f t="shared" si="1"/>
        <v>600</v>
      </c>
      <c r="M18" s="4" t="s">
        <v>25</v>
      </c>
      <c r="N18" s="4" t="s">
        <v>256</v>
      </c>
      <c r="O18" s="4" t="s">
        <v>315</v>
      </c>
      <c r="P18" s="4" t="s">
        <v>29</v>
      </c>
    </row>
    <row r="19" spans="1:16" ht="156.75" x14ac:dyDescent="0.25">
      <c r="A19" s="4" t="s">
        <v>333</v>
      </c>
      <c r="B19" s="4" t="s">
        <v>328</v>
      </c>
      <c r="C19" s="4" t="s">
        <v>320</v>
      </c>
      <c r="D19" s="4" t="s">
        <v>153</v>
      </c>
      <c r="E19" s="4" t="s">
        <v>22</v>
      </c>
      <c r="F19" s="4" t="s">
        <v>314</v>
      </c>
      <c r="G19" s="7">
        <v>1</v>
      </c>
      <c r="H19" s="7">
        <v>36</v>
      </c>
      <c r="I19" s="4" t="s">
        <v>9</v>
      </c>
      <c r="J19" s="7">
        <v>1</v>
      </c>
      <c r="K19" s="11">
        <f t="shared" si="0"/>
        <v>36</v>
      </c>
      <c r="L19" s="10">
        <f t="shared" si="1"/>
        <v>432</v>
      </c>
      <c r="M19" s="4" t="s">
        <v>25</v>
      </c>
      <c r="N19" s="4" t="s">
        <v>256</v>
      </c>
      <c r="O19" s="4" t="s">
        <v>315</v>
      </c>
      <c r="P19" s="4" t="s">
        <v>29</v>
      </c>
    </row>
    <row r="20" spans="1:16" ht="156.75" x14ac:dyDescent="0.25">
      <c r="A20" s="4" t="s">
        <v>334</v>
      </c>
      <c r="B20" s="4" t="s">
        <v>328</v>
      </c>
      <c r="C20" s="4" t="s">
        <v>168</v>
      </c>
      <c r="D20" s="4" t="s">
        <v>153</v>
      </c>
      <c r="E20" s="4" t="s">
        <v>235</v>
      </c>
      <c r="F20" s="4" t="s">
        <v>314</v>
      </c>
      <c r="G20" s="7">
        <v>3</v>
      </c>
      <c r="H20" s="7">
        <v>50</v>
      </c>
      <c r="I20" s="4" t="s">
        <v>9</v>
      </c>
      <c r="J20" s="7">
        <v>1</v>
      </c>
      <c r="K20" s="11">
        <f t="shared" si="0"/>
        <v>150</v>
      </c>
      <c r="L20" s="10">
        <f t="shared" si="1"/>
        <v>1800</v>
      </c>
      <c r="M20" s="4" t="s">
        <v>25</v>
      </c>
      <c r="N20" s="4" t="s">
        <v>256</v>
      </c>
      <c r="O20" s="4" t="s">
        <v>315</v>
      </c>
      <c r="P20" s="4" t="s">
        <v>29</v>
      </c>
    </row>
    <row r="21" spans="1:16" ht="156.75" x14ac:dyDescent="0.25">
      <c r="A21" s="4" t="s">
        <v>335</v>
      </c>
      <c r="B21" s="4" t="s">
        <v>328</v>
      </c>
      <c r="C21" s="4" t="s">
        <v>317</v>
      </c>
      <c r="D21" s="4" t="s">
        <v>318</v>
      </c>
      <c r="E21" s="4" t="s">
        <v>235</v>
      </c>
      <c r="F21" s="4" t="s">
        <v>314</v>
      </c>
      <c r="G21" s="7">
        <v>2</v>
      </c>
      <c r="H21" s="7">
        <v>50</v>
      </c>
      <c r="I21" s="4" t="s">
        <v>9</v>
      </c>
      <c r="J21" s="7">
        <v>0.5</v>
      </c>
      <c r="K21" s="11">
        <f t="shared" si="0"/>
        <v>50</v>
      </c>
      <c r="L21" s="10">
        <f t="shared" si="1"/>
        <v>600</v>
      </c>
      <c r="M21" s="4" t="s">
        <v>25</v>
      </c>
      <c r="N21" s="4" t="s">
        <v>256</v>
      </c>
      <c r="O21" s="4" t="s">
        <v>315</v>
      </c>
      <c r="P21" s="4" t="s">
        <v>29</v>
      </c>
    </row>
    <row r="22" spans="1:16" ht="156.75" x14ac:dyDescent="0.25">
      <c r="A22" s="4" t="s">
        <v>336</v>
      </c>
      <c r="B22" s="4" t="s">
        <v>328</v>
      </c>
      <c r="C22" s="4" t="s">
        <v>320</v>
      </c>
      <c r="D22" s="4" t="s">
        <v>153</v>
      </c>
      <c r="E22" s="4" t="s">
        <v>235</v>
      </c>
      <c r="F22" s="4" t="s">
        <v>314</v>
      </c>
      <c r="G22" s="7">
        <v>1</v>
      </c>
      <c r="H22" s="7">
        <v>60</v>
      </c>
      <c r="I22" s="4" t="s">
        <v>9</v>
      </c>
      <c r="J22" s="7">
        <v>1</v>
      </c>
      <c r="K22" s="11">
        <f t="shared" si="0"/>
        <v>60</v>
      </c>
      <c r="L22" s="10">
        <f t="shared" si="1"/>
        <v>720</v>
      </c>
      <c r="M22" s="4" t="s">
        <v>25</v>
      </c>
      <c r="N22" s="4" t="s">
        <v>256</v>
      </c>
      <c r="O22" s="4" t="s">
        <v>315</v>
      </c>
      <c r="P22" s="4" t="s">
        <v>29</v>
      </c>
    </row>
    <row r="23" spans="1:16" ht="156.75" x14ac:dyDescent="0.25">
      <c r="A23" s="4" t="s">
        <v>337</v>
      </c>
      <c r="B23" s="4" t="s">
        <v>338</v>
      </c>
      <c r="C23" s="4" t="s">
        <v>168</v>
      </c>
      <c r="D23" s="4" t="s">
        <v>153</v>
      </c>
      <c r="E23" s="4" t="s">
        <v>313</v>
      </c>
      <c r="F23" s="4" t="s">
        <v>314</v>
      </c>
      <c r="G23" s="7">
        <v>1</v>
      </c>
      <c r="H23" s="7">
        <v>55</v>
      </c>
      <c r="I23" s="4" t="s">
        <v>9</v>
      </c>
      <c r="J23" s="7">
        <v>1</v>
      </c>
      <c r="K23" s="11">
        <f t="shared" si="0"/>
        <v>55</v>
      </c>
      <c r="L23" s="10">
        <f t="shared" si="1"/>
        <v>660</v>
      </c>
      <c r="M23" s="4" t="s">
        <v>25</v>
      </c>
      <c r="N23" s="4" t="s">
        <v>256</v>
      </c>
      <c r="O23" s="4" t="s">
        <v>315</v>
      </c>
      <c r="P23" s="4" t="s">
        <v>29</v>
      </c>
    </row>
    <row r="24" spans="1:16" ht="156.75" x14ac:dyDescent="0.25">
      <c r="A24" s="4" t="s">
        <v>339</v>
      </c>
      <c r="B24" s="4" t="s">
        <v>338</v>
      </c>
      <c r="C24" s="4" t="s">
        <v>317</v>
      </c>
      <c r="D24" s="4" t="s">
        <v>318</v>
      </c>
      <c r="E24" s="4" t="s">
        <v>313</v>
      </c>
      <c r="F24" s="4" t="s">
        <v>314</v>
      </c>
      <c r="G24" s="7">
        <v>2</v>
      </c>
      <c r="H24" s="7">
        <v>55</v>
      </c>
      <c r="I24" s="4" t="s">
        <v>9</v>
      </c>
      <c r="J24" s="7">
        <v>0.5</v>
      </c>
      <c r="K24" s="11">
        <f t="shared" si="0"/>
        <v>55</v>
      </c>
      <c r="L24" s="10">
        <f t="shared" si="1"/>
        <v>660</v>
      </c>
      <c r="M24" s="4" t="s">
        <v>25</v>
      </c>
      <c r="N24" s="4" t="s">
        <v>256</v>
      </c>
      <c r="O24" s="4" t="s">
        <v>315</v>
      </c>
      <c r="P24" s="4" t="s">
        <v>29</v>
      </c>
    </row>
    <row r="25" spans="1:16" ht="156.75" x14ac:dyDescent="0.25">
      <c r="A25" s="4" t="s">
        <v>340</v>
      </c>
      <c r="B25" s="4" t="s">
        <v>338</v>
      </c>
      <c r="C25" s="4" t="s">
        <v>320</v>
      </c>
      <c r="D25" s="4" t="s">
        <v>153</v>
      </c>
      <c r="E25" s="4" t="s">
        <v>313</v>
      </c>
      <c r="F25" s="4" t="s">
        <v>314</v>
      </c>
      <c r="G25" s="7">
        <v>1</v>
      </c>
      <c r="H25" s="7">
        <v>24</v>
      </c>
      <c r="I25" s="4" t="s">
        <v>9</v>
      </c>
      <c r="J25" s="7">
        <v>1</v>
      </c>
      <c r="K25" s="11">
        <f t="shared" si="0"/>
        <v>24</v>
      </c>
      <c r="L25" s="10">
        <f t="shared" si="1"/>
        <v>288</v>
      </c>
      <c r="M25" s="4" t="s">
        <v>25</v>
      </c>
      <c r="N25" s="4" t="s">
        <v>256</v>
      </c>
      <c r="O25" s="4" t="s">
        <v>315</v>
      </c>
      <c r="P25" s="4" t="s">
        <v>29</v>
      </c>
    </row>
    <row r="26" spans="1:16" ht="156.75" x14ac:dyDescent="0.25">
      <c r="A26" s="4" t="s">
        <v>341</v>
      </c>
      <c r="B26" s="4" t="s">
        <v>338</v>
      </c>
      <c r="C26" s="4" t="s">
        <v>168</v>
      </c>
      <c r="D26" s="4" t="s">
        <v>153</v>
      </c>
      <c r="E26" s="4" t="s">
        <v>22</v>
      </c>
      <c r="F26" s="4" t="s">
        <v>314</v>
      </c>
      <c r="G26" s="7">
        <v>2</v>
      </c>
      <c r="H26" s="7">
        <v>55</v>
      </c>
      <c r="I26" s="4" t="s">
        <v>9</v>
      </c>
      <c r="J26" s="7">
        <v>1</v>
      </c>
      <c r="K26" s="11">
        <f t="shared" si="0"/>
        <v>110</v>
      </c>
      <c r="L26" s="10">
        <f t="shared" si="1"/>
        <v>1320</v>
      </c>
      <c r="M26" s="4" t="s">
        <v>25</v>
      </c>
      <c r="N26" s="4" t="s">
        <v>256</v>
      </c>
      <c r="O26" s="4" t="s">
        <v>315</v>
      </c>
      <c r="P26" s="4" t="s">
        <v>29</v>
      </c>
    </row>
    <row r="27" spans="1:16" ht="156.75" x14ac:dyDescent="0.25">
      <c r="A27" s="4" t="s">
        <v>342</v>
      </c>
      <c r="B27" s="4" t="s">
        <v>338</v>
      </c>
      <c r="C27" s="4" t="s">
        <v>317</v>
      </c>
      <c r="D27" s="4" t="s">
        <v>318</v>
      </c>
      <c r="E27" s="4" t="s">
        <v>22</v>
      </c>
      <c r="F27" s="4" t="s">
        <v>314</v>
      </c>
      <c r="G27" s="7">
        <v>2</v>
      </c>
      <c r="H27" s="7">
        <v>55</v>
      </c>
      <c r="I27" s="4" t="s">
        <v>9</v>
      </c>
      <c r="J27" s="7">
        <v>0.5</v>
      </c>
      <c r="K27" s="11">
        <f t="shared" si="0"/>
        <v>55</v>
      </c>
      <c r="L27" s="10">
        <f t="shared" si="1"/>
        <v>660</v>
      </c>
      <c r="M27" s="4" t="s">
        <v>25</v>
      </c>
      <c r="N27" s="4" t="s">
        <v>256</v>
      </c>
      <c r="O27" s="4" t="s">
        <v>315</v>
      </c>
      <c r="P27" s="4" t="s">
        <v>29</v>
      </c>
    </row>
    <row r="28" spans="1:16" ht="156.75" x14ac:dyDescent="0.25">
      <c r="A28" s="4" t="s">
        <v>343</v>
      </c>
      <c r="B28" s="4" t="s">
        <v>338</v>
      </c>
      <c r="C28" s="4" t="s">
        <v>320</v>
      </c>
      <c r="D28" s="4" t="s">
        <v>153</v>
      </c>
      <c r="E28" s="4" t="s">
        <v>22</v>
      </c>
      <c r="F28" s="4" t="s">
        <v>314</v>
      </c>
      <c r="G28" s="7">
        <v>1</v>
      </c>
      <c r="H28" s="7">
        <v>36</v>
      </c>
      <c r="I28" s="4" t="s">
        <v>9</v>
      </c>
      <c r="J28" s="7">
        <v>1</v>
      </c>
      <c r="K28" s="11">
        <f t="shared" si="0"/>
        <v>36</v>
      </c>
      <c r="L28" s="10">
        <f t="shared" si="1"/>
        <v>432</v>
      </c>
      <c r="M28" s="4" t="s">
        <v>25</v>
      </c>
      <c r="N28" s="4" t="s">
        <v>256</v>
      </c>
      <c r="O28" s="4" t="s">
        <v>315</v>
      </c>
      <c r="P28" s="4" t="s">
        <v>29</v>
      </c>
    </row>
    <row r="29" spans="1:16" ht="156.75" x14ac:dyDescent="0.25">
      <c r="A29" s="4" t="s">
        <v>344</v>
      </c>
      <c r="B29" s="4" t="s">
        <v>338</v>
      </c>
      <c r="C29" s="4" t="s">
        <v>168</v>
      </c>
      <c r="D29" s="4" t="s">
        <v>153</v>
      </c>
      <c r="E29" s="4" t="s">
        <v>235</v>
      </c>
      <c r="F29" s="4" t="s">
        <v>314</v>
      </c>
      <c r="G29" s="7">
        <v>3</v>
      </c>
      <c r="H29" s="7">
        <v>55</v>
      </c>
      <c r="I29" s="4" t="s">
        <v>9</v>
      </c>
      <c r="J29" s="7">
        <v>1</v>
      </c>
      <c r="K29" s="11">
        <f t="shared" si="0"/>
        <v>165</v>
      </c>
      <c r="L29" s="10">
        <f t="shared" si="1"/>
        <v>1980</v>
      </c>
      <c r="M29" s="4" t="s">
        <v>25</v>
      </c>
      <c r="N29" s="4" t="s">
        <v>256</v>
      </c>
      <c r="O29" s="4" t="s">
        <v>315</v>
      </c>
      <c r="P29" s="4" t="s">
        <v>29</v>
      </c>
    </row>
    <row r="30" spans="1:16" ht="156.75" x14ac:dyDescent="0.25">
      <c r="A30" s="4" t="s">
        <v>345</v>
      </c>
      <c r="B30" s="4" t="s">
        <v>338</v>
      </c>
      <c r="C30" s="4" t="s">
        <v>317</v>
      </c>
      <c r="D30" s="4" t="s">
        <v>318</v>
      </c>
      <c r="E30" s="4" t="s">
        <v>235</v>
      </c>
      <c r="F30" s="4" t="s">
        <v>314</v>
      </c>
      <c r="G30" s="7">
        <v>2</v>
      </c>
      <c r="H30" s="7">
        <v>55</v>
      </c>
      <c r="I30" s="4" t="s">
        <v>9</v>
      </c>
      <c r="J30" s="7">
        <v>0.5</v>
      </c>
      <c r="K30" s="11">
        <f t="shared" si="0"/>
        <v>55</v>
      </c>
      <c r="L30" s="10">
        <f t="shared" si="1"/>
        <v>660</v>
      </c>
      <c r="M30" s="4" t="s">
        <v>25</v>
      </c>
      <c r="N30" s="4" t="s">
        <v>256</v>
      </c>
      <c r="O30" s="4" t="s">
        <v>315</v>
      </c>
      <c r="P30" s="4" t="s">
        <v>29</v>
      </c>
    </row>
    <row r="31" spans="1:16" ht="156.75" x14ac:dyDescent="0.25">
      <c r="A31" s="4" t="s">
        <v>346</v>
      </c>
      <c r="B31" s="4" t="s">
        <v>338</v>
      </c>
      <c r="C31" s="4" t="s">
        <v>320</v>
      </c>
      <c r="D31" s="4" t="s">
        <v>153</v>
      </c>
      <c r="E31" s="4" t="s">
        <v>235</v>
      </c>
      <c r="F31" s="4" t="s">
        <v>314</v>
      </c>
      <c r="G31" s="7">
        <v>1</v>
      </c>
      <c r="H31" s="7">
        <v>60</v>
      </c>
      <c r="I31" s="4" t="s">
        <v>9</v>
      </c>
      <c r="J31" s="7">
        <v>1</v>
      </c>
      <c r="K31" s="11">
        <f t="shared" si="0"/>
        <v>60</v>
      </c>
      <c r="L31" s="10">
        <f t="shared" si="1"/>
        <v>720</v>
      </c>
      <c r="M31" s="4" t="s">
        <v>25</v>
      </c>
      <c r="N31" s="4" t="s">
        <v>256</v>
      </c>
      <c r="O31" s="4" t="s">
        <v>315</v>
      </c>
      <c r="P31" s="4" t="s">
        <v>29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4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2" width="16" customWidth="1"/>
    <col min="3" max="3" width="43" customWidth="1"/>
    <col min="4" max="6" width="16" customWidth="1"/>
  </cols>
  <sheetData>
    <row r="1" spans="1:6" ht="20.25" x14ac:dyDescent="0.3">
      <c r="A1" s="1" t="s">
        <v>347</v>
      </c>
    </row>
    <row r="2" spans="1:6" ht="32.1" customHeight="1" x14ac:dyDescent="0.25">
      <c r="A2" s="2" t="s">
        <v>348</v>
      </c>
    </row>
    <row r="4" spans="1:6" ht="30" x14ac:dyDescent="0.25">
      <c r="A4" s="3" t="s">
        <v>305</v>
      </c>
      <c r="B4" s="3" t="s">
        <v>349</v>
      </c>
      <c r="C4" s="3" t="s">
        <v>350</v>
      </c>
      <c r="D4" s="3" t="s">
        <v>351</v>
      </c>
      <c r="E4" s="3" t="s">
        <v>352</v>
      </c>
      <c r="F4" s="3" t="s">
        <v>20</v>
      </c>
    </row>
    <row r="5" spans="1:6" ht="28.5" x14ac:dyDescent="0.25">
      <c r="A5" s="4" t="s">
        <v>313</v>
      </c>
      <c r="B5" s="4" t="s">
        <v>353</v>
      </c>
      <c r="C5" s="10">
        <f>SUM(Taches[JH bas])</f>
        <v>10</v>
      </c>
      <c r="D5" s="10">
        <f>SUMIF(Taches[Nature],"Build",Taches[JH bas])</f>
        <v>9.5</v>
      </c>
      <c r="E5" s="10">
        <f>SUMIF(Taches[Nature],"Run",Taches[JH bas])</f>
        <v>0.5</v>
      </c>
      <c r="F5" s="4" t="s">
        <v>354</v>
      </c>
    </row>
    <row r="6" spans="1:6" ht="28.5" x14ac:dyDescent="0.25">
      <c r="A6" s="4" t="s">
        <v>22</v>
      </c>
      <c r="B6" s="4" t="s">
        <v>355</v>
      </c>
      <c r="C6" s="10">
        <f>SUM(Taches[JH probable])</f>
        <v>18</v>
      </c>
      <c r="D6" s="10">
        <f>SUMIF(Taches[Nature],"Build",Taches[JH probable])</f>
        <v>17</v>
      </c>
      <c r="E6" s="10">
        <f>SUMIF(Taches[Nature],"Run",Taches[JH probable])</f>
        <v>1</v>
      </c>
      <c r="F6" s="4" t="s">
        <v>356</v>
      </c>
    </row>
    <row r="7" spans="1:6" ht="42.75" x14ac:dyDescent="0.25">
      <c r="A7" s="4" t="s">
        <v>235</v>
      </c>
      <c r="B7" s="4" t="s">
        <v>357</v>
      </c>
      <c r="C7" s="10">
        <f>SUM(Taches[JH haut])</f>
        <v>32</v>
      </c>
      <c r="D7" s="10">
        <f>SUMIF(Taches[Nature],"Build",Taches[JH haut])</f>
        <v>30</v>
      </c>
      <c r="E7" s="10">
        <f>SUMIF(Taches[Nature],"Run",Taches[JH haut])</f>
        <v>2</v>
      </c>
      <c r="F7" s="4" t="s">
        <v>358</v>
      </c>
    </row>
    <row r="10" spans="1:6" x14ac:dyDescent="0.25">
      <c r="A10" t="s">
        <v>359</v>
      </c>
    </row>
    <row r="11" spans="1:6" ht="33.950000000000003" customHeight="1" x14ac:dyDescent="0.25">
      <c r="A11" s="14" t="s">
        <v>163</v>
      </c>
      <c r="B11" s="14" t="s">
        <v>360</v>
      </c>
      <c r="C11" s="14" t="s">
        <v>361</v>
      </c>
      <c r="D11" s="14" t="s">
        <v>362</v>
      </c>
      <c r="E11" s="14" t="s">
        <v>363</v>
      </c>
      <c r="F11" s="14" t="s">
        <v>364</v>
      </c>
    </row>
    <row r="12" spans="1:6" x14ac:dyDescent="0.25">
      <c r="A12" t="s">
        <v>167</v>
      </c>
      <c r="B12" s="15">
        <f>IF('01_Hypotheses'!B42="Economique",SUMIFS(Taches[JH bas],Taches[Nature],"Build",Taches[Scenario override],""),IF('01_Hypotheses'!B42="Standard",SUMIFS(Taches[JH probable],Taches[Nature],"Build",Taches[Scenario override],""),SUMIFS(Taches[JH haut],Taches[Nature],"Build",Taches[Scenario override],"")))+SUMIFS(Taches[JH bas],Taches[Nature],"Build",Taches[Scenario override],"Economique")+SUMIFS(Taches[JH probable],Taches[Nature],"Build",Taches[Scenario override],"Standard")+SUMIFS(Taches[JH haut],Taches[Nature],"Build",Taches[Scenario override],"Resilient")</f>
        <v>19</v>
      </c>
      <c r="C12" s="15">
        <f>IF('01_Hypotheses'!B42="Economique",SUMIFS(Taches[JH bas],Taches[Nature],"Run",Taches[Scenario override],""),IF('01_Hypotheses'!B42="Standard",SUMIFS(Taches[JH probable],Taches[Nature],"Run",Taches[Scenario override],""),SUMIFS(Taches[JH haut],Taches[Nature],"Run",Taches[Scenario override],"")))+SUMIFS(Taches[JH bas],Taches[Nature],"Run",Taches[Scenario override],"Economique")+SUMIFS(Taches[JH probable],Taches[Nature],"Run",Taches[Scenario override],"Standard")+SUMIFS(Taches[JH haut],Taches[Nature],"Run",Taches[Scenario override],"Resilient")</f>
        <v>1</v>
      </c>
      <c r="D12" s="15">
        <f>SUMIFS(CoutsCloud[Cout mensuel (EUR)],CoutsCloud[Fournisseur],A12,CoutsCloud[Scenario],'01_Hypotheses'!B42)</f>
        <v>171</v>
      </c>
      <c r="E12" s="15">
        <f>'01_Hypotheses'!B40</f>
        <v>3</v>
      </c>
      <c r="F12" s="15">
        <f>IF(taux_journalier="","",IF(taux_journalier="A chiffrer","",B12*taux_journalier+(C12*taux_journalier+D12+'01_Hypotheses'!B41)*mois_par_an*E12))</f>
        <v>41906</v>
      </c>
    </row>
    <row r="13" spans="1:6" x14ac:dyDescent="0.25">
      <c r="A13" t="s">
        <v>328</v>
      </c>
      <c r="B13" s="15">
        <f>IF('01_Hypotheses'!B42="Economique",SUMIFS(Taches[JH bas],Taches[Nature],"Build",Taches[Scenario override],""),IF('01_Hypotheses'!B42="Standard",SUMIFS(Taches[JH probable],Taches[Nature],"Build",Taches[Scenario override],""),SUMIFS(Taches[JH haut],Taches[Nature],"Build",Taches[Scenario override],"")))+SUMIFS(Taches[JH bas],Taches[Nature],"Build",Taches[Scenario override],"Economique")+SUMIFS(Taches[JH probable],Taches[Nature],"Build",Taches[Scenario override],"Standard")+SUMIFS(Taches[JH haut],Taches[Nature],"Build",Taches[Scenario override],"Resilient")</f>
        <v>19</v>
      </c>
      <c r="C13" s="15">
        <f>IF('01_Hypotheses'!B42="Economique",SUMIFS(Taches[JH bas],Taches[Nature],"Run",Taches[Scenario override],""),IF('01_Hypotheses'!B42="Standard",SUMIFS(Taches[JH probable],Taches[Nature],"Run",Taches[Scenario override],""),SUMIFS(Taches[JH haut],Taches[Nature],"Run",Taches[Scenario override],"")))+SUMIFS(Taches[JH bas],Taches[Nature],"Run",Taches[Scenario override],"Economique")+SUMIFS(Taches[JH probable],Taches[Nature],"Run",Taches[Scenario override],"Standard")+SUMIFS(Taches[JH haut],Taches[Nature],"Run",Taches[Scenario override],"Resilient")</f>
        <v>1</v>
      </c>
      <c r="D13" s="15">
        <f>SUMIFS(CoutsCloud[Cout mensuel (EUR)],CoutsCloud[Fournisseur],A13,CoutsCloud[Scenario],'01_Hypotheses'!B42)</f>
        <v>186</v>
      </c>
      <c r="E13" s="15">
        <f>'01_Hypotheses'!B40</f>
        <v>3</v>
      </c>
      <c r="F13" s="15">
        <f>IF(taux_journalier="","",IF(taux_journalier="A chiffrer","",B13*taux_journalier+(C13*taux_journalier+D13+'01_Hypotheses'!B41)*mois_par_an*E13))</f>
        <v>42446</v>
      </c>
    </row>
    <row r="14" spans="1:6" x14ac:dyDescent="0.25">
      <c r="A14" t="s">
        <v>338</v>
      </c>
      <c r="B14" s="15">
        <f>IF('01_Hypotheses'!B42="Economique",SUMIFS(Taches[JH bas],Taches[Nature],"Build",Taches[Scenario override],""),IF('01_Hypotheses'!B42="Standard",SUMIFS(Taches[JH probable],Taches[Nature],"Build",Taches[Scenario override],""),SUMIFS(Taches[JH haut],Taches[Nature],"Build",Taches[Scenario override],"")))+SUMIFS(Taches[JH bas],Taches[Nature],"Build",Taches[Scenario override],"Economique")+SUMIFS(Taches[JH probable],Taches[Nature],"Build",Taches[Scenario override],"Standard")+SUMIFS(Taches[JH haut],Taches[Nature],"Build",Taches[Scenario override],"Resilient")</f>
        <v>19</v>
      </c>
      <c r="C14" s="15">
        <f>IF('01_Hypotheses'!B42="Economique",SUMIFS(Taches[JH bas],Taches[Nature],"Run",Taches[Scenario override],""),IF('01_Hypotheses'!B42="Standard",SUMIFS(Taches[JH probable],Taches[Nature],"Run",Taches[Scenario override],""),SUMIFS(Taches[JH haut],Taches[Nature],"Run",Taches[Scenario override],"")))+SUMIFS(Taches[JH bas],Taches[Nature],"Run",Taches[Scenario override],"Economique")+SUMIFS(Taches[JH probable],Taches[Nature],"Run",Taches[Scenario override],"Standard")+SUMIFS(Taches[JH haut],Taches[Nature],"Run",Taches[Scenario override],"Resilient")</f>
        <v>1</v>
      </c>
      <c r="D14" s="15">
        <f>SUMIFS(CoutsCloud[Cout mensuel (EUR)],CoutsCloud[Fournisseur],A14,CoutsCloud[Scenario],'01_Hypotheses'!B42)</f>
        <v>201</v>
      </c>
      <c r="E14" s="15">
        <f>'01_Hypotheses'!B40</f>
        <v>3</v>
      </c>
      <c r="F14" s="15">
        <f>IF(taux_journalier="","",IF(taux_journalier="A chiffrer","",B14*taux_journalier+(C14*taux_journalier+D14+'01_Hypotheses'!B41)*mois_par_an*E14))</f>
        <v>42986</v>
      </c>
    </row>
  </sheetData>
  <pageMargins left="0.75" right="0.75" top="1" bottom="1" header="0.5" footer="0.5"/>
  <pageSetup paperSize="8" fitToHeight="0" orientation="landscape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3" width="16" customWidth="1"/>
    <col min="4" max="4" width="43" customWidth="1"/>
    <col min="5" max="7" width="16" customWidth="1"/>
  </cols>
  <sheetData>
    <row r="1" spans="1:7" ht="20.25" x14ac:dyDescent="0.3">
      <c r="A1" s="1" t="s">
        <v>365</v>
      </c>
    </row>
    <row r="2" spans="1:7" ht="32.1" customHeight="1" x14ac:dyDescent="0.25">
      <c r="A2" s="2" t="s">
        <v>366</v>
      </c>
    </row>
    <row r="4" spans="1:7" ht="30" x14ac:dyDescent="0.25">
      <c r="A4" s="3" t="s">
        <v>367</v>
      </c>
      <c r="B4" s="3" t="s">
        <v>368</v>
      </c>
      <c r="C4" s="3" t="s">
        <v>369</v>
      </c>
      <c r="D4" s="3" t="s">
        <v>350</v>
      </c>
      <c r="E4" s="3" t="s">
        <v>351</v>
      </c>
      <c r="F4" s="3" t="s">
        <v>352</v>
      </c>
      <c r="G4" s="3" t="s">
        <v>20</v>
      </c>
    </row>
    <row r="5" spans="1:7" ht="28.5" x14ac:dyDescent="0.25">
      <c r="A5" s="4" t="s">
        <v>214</v>
      </c>
      <c r="B5" s="7">
        <v>1</v>
      </c>
      <c r="C5" s="4" t="s">
        <v>370</v>
      </c>
      <c r="D5" s="10">
        <f>SUMIF(Taches[Lot],A5,Taches[JH retenu])</f>
        <v>9</v>
      </c>
      <c r="E5" s="10">
        <f>SUMIFS(Taches[JH retenu],Taches[Lot],A5,Taches[Nature],"Build")</f>
        <v>9</v>
      </c>
      <c r="F5" s="10">
        <f>SUMIFS(Taches[JH retenu],Taches[Lot],A5,Taches[Nature],"Run")</f>
        <v>0</v>
      </c>
      <c r="G5" s="4" t="s">
        <v>371</v>
      </c>
    </row>
    <row r="6" spans="1:7" ht="28.5" x14ac:dyDescent="0.25">
      <c r="A6" s="4" t="s">
        <v>239</v>
      </c>
      <c r="B6" s="7">
        <v>2</v>
      </c>
      <c r="C6" s="4" t="s">
        <v>372</v>
      </c>
      <c r="D6" s="10">
        <f>SUMIF(Taches[Lot],A6,Taches[JH retenu])</f>
        <v>6</v>
      </c>
      <c r="E6" s="10">
        <f>SUMIFS(Taches[JH retenu],Taches[Lot],A6,Taches[Nature],"Build")</f>
        <v>6</v>
      </c>
      <c r="F6" s="10">
        <f>SUMIFS(Taches[JH retenu],Taches[Lot],A6,Taches[Nature],"Run")</f>
        <v>0</v>
      </c>
      <c r="G6" s="4" t="s">
        <v>373</v>
      </c>
    </row>
    <row r="7" spans="1:7" ht="42.75" x14ac:dyDescent="0.25">
      <c r="A7" s="4" t="s">
        <v>259</v>
      </c>
      <c r="B7" s="7">
        <v>3</v>
      </c>
      <c r="C7" s="4" t="s">
        <v>374</v>
      </c>
      <c r="D7" s="10">
        <f>SUMIF(Taches[Lot],A7,Taches[JH retenu])</f>
        <v>5</v>
      </c>
      <c r="E7" s="10">
        <f>SUMIFS(Taches[JH retenu],Taches[Lot],A7,Taches[Nature],"Build")</f>
        <v>4</v>
      </c>
      <c r="F7" s="10">
        <f>SUMIFS(Taches[JH retenu],Taches[Lot],A7,Taches[Nature],"Run")</f>
        <v>1</v>
      </c>
      <c r="G7" s="4" t="s">
        <v>375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7" width="16" customWidth="1"/>
  </cols>
  <sheetData>
    <row r="1" spans="1:7" ht="20.25" x14ac:dyDescent="0.3">
      <c r="A1" s="1" t="s">
        <v>376</v>
      </c>
    </row>
    <row r="2" spans="1:7" ht="32.1" customHeight="1" x14ac:dyDescent="0.25">
      <c r="A2" s="2" t="s">
        <v>377</v>
      </c>
    </row>
    <row r="4" spans="1:7" x14ac:dyDescent="0.25">
      <c r="A4" s="3" t="s">
        <v>140</v>
      </c>
      <c r="B4" s="3" t="s">
        <v>378</v>
      </c>
      <c r="C4" s="3" t="s">
        <v>379</v>
      </c>
      <c r="D4" s="3" t="s">
        <v>380</v>
      </c>
      <c r="E4" s="3" t="s">
        <v>381</v>
      </c>
      <c r="F4" s="3" t="s">
        <v>382</v>
      </c>
      <c r="G4" s="3" t="s">
        <v>18</v>
      </c>
    </row>
    <row r="5" spans="1:7" ht="42.75" x14ac:dyDescent="0.25">
      <c r="A5" s="4" t="s">
        <v>383</v>
      </c>
      <c r="B5" s="4" t="s">
        <v>384</v>
      </c>
      <c r="C5" s="4" t="s">
        <v>385</v>
      </c>
      <c r="D5" s="4" t="s">
        <v>225</v>
      </c>
      <c r="E5" s="4" t="s">
        <v>386</v>
      </c>
      <c r="F5" s="4" t="s">
        <v>252</v>
      </c>
      <c r="G5" s="4" t="s">
        <v>387</v>
      </c>
    </row>
    <row r="6" spans="1:7" ht="85.5" x14ac:dyDescent="0.25">
      <c r="A6" s="4" t="s">
        <v>388</v>
      </c>
      <c r="B6" s="4" t="s">
        <v>389</v>
      </c>
      <c r="C6" s="4" t="s">
        <v>390</v>
      </c>
      <c r="D6" s="4" t="s">
        <v>391</v>
      </c>
      <c r="E6" s="4" t="s">
        <v>392</v>
      </c>
      <c r="F6" s="4" t="s">
        <v>252</v>
      </c>
      <c r="G6" s="4" t="s">
        <v>387</v>
      </c>
    </row>
    <row r="7" spans="1:7" ht="85.5" x14ac:dyDescent="0.25">
      <c r="A7" s="4" t="s">
        <v>393</v>
      </c>
      <c r="B7" s="4" t="s">
        <v>394</v>
      </c>
      <c r="C7" s="4" t="s">
        <v>395</v>
      </c>
      <c r="D7" s="4" t="s">
        <v>396</v>
      </c>
      <c r="E7" s="4" t="s">
        <v>397</v>
      </c>
      <c r="F7" s="4" t="s">
        <v>219</v>
      </c>
      <c r="G7" s="4" t="s">
        <v>387</v>
      </c>
    </row>
    <row r="8" spans="1:7" ht="85.5" x14ac:dyDescent="0.25">
      <c r="A8" s="4" t="s">
        <v>398</v>
      </c>
      <c r="B8" s="4" t="s">
        <v>399</v>
      </c>
      <c r="C8" s="4" t="s">
        <v>400</v>
      </c>
      <c r="D8" s="4" t="s">
        <v>225</v>
      </c>
      <c r="E8" s="4" t="s">
        <v>401</v>
      </c>
      <c r="F8" s="4" t="s">
        <v>272</v>
      </c>
      <c r="G8" s="4" t="s">
        <v>387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9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6" width="16" customWidth="1"/>
  </cols>
  <sheetData>
    <row r="1" spans="1:6" ht="20.25" x14ac:dyDescent="0.3">
      <c r="A1" s="1" t="s">
        <v>402</v>
      </c>
    </row>
    <row r="2" spans="1:6" ht="32.1" customHeight="1" x14ac:dyDescent="0.25">
      <c r="A2" s="2" t="s">
        <v>403</v>
      </c>
    </row>
    <row r="4" spans="1:6" x14ac:dyDescent="0.25">
      <c r="A4" s="3" t="s">
        <v>140</v>
      </c>
      <c r="B4" s="3" t="s">
        <v>404</v>
      </c>
      <c r="C4" s="3" t="s">
        <v>405</v>
      </c>
      <c r="D4" s="3" t="s">
        <v>406</v>
      </c>
      <c r="E4" s="3" t="s">
        <v>18</v>
      </c>
      <c r="F4" s="3" t="s">
        <v>19</v>
      </c>
    </row>
    <row r="5" spans="1:6" ht="42.75" x14ac:dyDescent="0.25">
      <c r="A5" s="4" t="s">
        <v>407</v>
      </c>
      <c r="B5" s="4" t="s">
        <v>408</v>
      </c>
      <c r="C5" s="4" t="s">
        <v>168</v>
      </c>
      <c r="D5" s="4" t="s">
        <v>409</v>
      </c>
      <c r="E5" s="4" t="s">
        <v>29</v>
      </c>
      <c r="F5" s="4" t="s">
        <v>25</v>
      </c>
    </row>
    <row r="6" spans="1:6" ht="285" x14ac:dyDescent="0.25">
      <c r="A6" s="4" t="s">
        <v>410</v>
      </c>
      <c r="B6" s="4" t="s">
        <v>411</v>
      </c>
      <c r="C6" s="4" t="s">
        <v>412</v>
      </c>
      <c r="D6" s="4" t="s">
        <v>413</v>
      </c>
      <c r="E6" s="4" t="s">
        <v>414</v>
      </c>
      <c r="F6" s="4" t="s">
        <v>415</v>
      </c>
    </row>
    <row r="7" spans="1:6" ht="285" x14ac:dyDescent="0.25">
      <c r="A7" s="4" t="s">
        <v>416</v>
      </c>
      <c r="B7" s="4" t="s">
        <v>417</v>
      </c>
      <c r="C7" s="4" t="s">
        <v>418</v>
      </c>
      <c r="D7" s="4" t="s">
        <v>419</v>
      </c>
      <c r="E7" s="4" t="s">
        <v>420</v>
      </c>
      <c r="F7" s="4" t="s">
        <v>25</v>
      </c>
    </row>
    <row r="8" spans="1:6" ht="285" x14ac:dyDescent="0.25">
      <c r="A8" s="4" t="s">
        <v>421</v>
      </c>
      <c r="B8" s="4" t="s">
        <v>422</v>
      </c>
      <c r="C8" s="4" t="s">
        <v>423</v>
      </c>
      <c r="D8" s="4" t="s">
        <v>424</v>
      </c>
      <c r="E8" s="4" t="s">
        <v>414</v>
      </c>
      <c r="F8" s="4" t="s">
        <v>25</v>
      </c>
    </row>
    <row r="9" spans="1:6" ht="313.5" x14ac:dyDescent="0.25">
      <c r="A9" s="4" t="s">
        <v>425</v>
      </c>
      <c r="B9" s="4" t="s">
        <v>426</v>
      </c>
      <c r="C9" s="4" t="s">
        <v>427</v>
      </c>
      <c r="D9" s="4" t="s">
        <v>428</v>
      </c>
      <c r="E9" s="4" t="s">
        <v>387</v>
      </c>
      <c r="F9" s="4" t="s">
        <v>25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7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6" width="16" customWidth="1"/>
  </cols>
  <sheetData>
    <row r="1" spans="1:6" ht="20.25" x14ac:dyDescent="0.3">
      <c r="A1" s="1" t="s">
        <v>429</v>
      </c>
    </row>
    <row r="2" spans="1:6" ht="32.1" customHeight="1" x14ac:dyDescent="0.25">
      <c r="A2" s="2" t="s">
        <v>430</v>
      </c>
    </row>
    <row r="4" spans="1:6" x14ac:dyDescent="0.25">
      <c r="A4" s="3" t="s">
        <v>140</v>
      </c>
      <c r="B4" s="3" t="s">
        <v>431</v>
      </c>
      <c r="C4" s="3" t="s">
        <v>162</v>
      </c>
      <c r="D4" s="3" t="s">
        <v>432</v>
      </c>
      <c r="E4" s="3" t="s">
        <v>433</v>
      </c>
      <c r="F4" s="3" t="s">
        <v>20</v>
      </c>
    </row>
    <row r="5" spans="1:6" ht="42.75" x14ac:dyDescent="0.25">
      <c r="A5" s="4" t="s">
        <v>25</v>
      </c>
      <c r="B5" s="4" t="s">
        <v>434</v>
      </c>
      <c r="C5" s="4" t="s">
        <v>435</v>
      </c>
      <c r="D5" s="4" t="s">
        <v>7</v>
      </c>
      <c r="E5" s="4"/>
      <c r="F5" s="4" t="s">
        <v>436</v>
      </c>
    </row>
    <row r="6" spans="1:6" ht="85.5" x14ac:dyDescent="0.25">
      <c r="A6" s="4" t="s">
        <v>437</v>
      </c>
      <c r="B6" s="4" t="s">
        <v>438</v>
      </c>
      <c r="C6" s="4" t="s">
        <v>435</v>
      </c>
      <c r="D6" s="4" t="s">
        <v>439</v>
      </c>
      <c r="E6" s="4"/>
      <c r="F6" s="4" t="s">
        <v>440</v>
      </c>
    </row>
    <row r="7" spans="1:6" ht="114" x14ac:dyDescent="0.25">
      <c r="A7" s="4" t="s">
        <v>441</v>
      </c>
      <c r="B7" s="4" t="s">
        <v>442</v>
      </c>
      <c r="C7" s="4" t="s">
        <v>435</v>
      </c>
      <c r="D7" s="4" t="s">
        <v>7</v>
      </c>
      <c r="E7" s="4"/>
      <c r="F7" s="4" t="s">
        <v>443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9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4" width="16" customWidth="1"/>
  </cols>
  <sheetData>
    <row r="1" spans="1:4" ht="20.25" x14ac:dyDescent="0.3">
      <c r="A1" s="1" t="s">
        <v>444</v>
      </c>
    </row>
    <row r="2" spans="1:4" ht="32.1" customHeight="1" x14ac:dyDescent="0.25">
      <c r="A2" s="2" t="s">
        <v>445</v>
      </c>
    </row>
    <row r="4" spans="1:4" x14ac:dyDescent="0.25">
      <c r="A4" s="3" t="s">
        <v>446</v>
      </c>
      <c r="B4" s="3" t="s">
        <v>3</v>
      </c>
      <c r="C4" s="3" t="s">
        <v>17</v>
      </c>
      <c r="D4" s="3" t="s">
        <v>20</v>
      </c>
    </row>
    <row r="5" spans="1:4" ht="99.75" x14ac:dyDescent="0.25">
      <c r="A5" s="4" t="s">
        <v>447</v>
      </c>
      <c r="B5" s="10">
        <f>SUM(Taches[JH retenu])</f>
        <v>20</v>
      </c>
      <c r="C5" s="4" t="s">
        <v>448</v>
      </c>
      <c r="D5" s="4" t="s">
        <v>449</v>
      </c>
    </row>
    <row r="6" spans="1:4" x14ac:dyDescent="0.25">
      <c r="A6" s="4" t="s">
        <v>351</v>
      </c>
      <c r="B6" s="10">
        <f>SUMIF(Taches[Nature],"Build",Taches[JH retenu])</f>
        <v>19</v>
      </c>
      <c r="C6" s="4" t="s">
        <v>11</v>
      </c>
      <c r="D6" s="4" t="s">
        <v>450</v>
      </c>
    </row>
    <row r="7" spans="1:4" ht="28.5" x14ac:dyDescent="0.25">
      <c r="A7" s="4" t="s">
        <v>451</v>
      </c>
      <c r="B7" s="10">
        <f>SUMIF(Taches[Nature],"Run",Taches[JH retenu])</f>
        <v>1</v>
      </c>
      <c r="C7" s="4" t="s">
        <v>92</v>
      </c>
      <c r="D7" s="4" t="s">
        <v>452</v>
      </c>
    </row>
    <row r="8" spans="1:4" ht="42.75" x14ac:dyDescent="0.25">
      <c r="A8" s="4" t="s">
        <v>453</v>
      </c>
      <c r="B8" s="10">
        <f>IF(taux_journalier="","",IF(taux_journalier="A chiffrer","",SUMIF(Taches[Nature],"Build",Taches[JH retenu])*taux_journalier))</f>
        <v>12350</v>
      </c>
      <c r="C8" s="4" t="s">
        <v>9</v>
      </c>
      <c r="D8" s="4" t="s">
        <v>454</v>
      </c>
    </row>
    <row r="9" spans="1:4" ht="42.75" x14ac:dyDescent="0.25">
      <c r="A9" s="4" t="s">
        <v>455</v>
      </c>
      <c r="B9" s="10">
        <f>IF(taux_journalier="","",IF(taux_journalier="A chiffrer","",SUMIF(Taches[Nature],"Run",Taches[JH retenu])*taux_journalier))</f>
        <v>650</v>
      </c>
      <c r="C9" s="4" t="s">
        <v>83</v>
      </c>
      <c r="D9" s="4" t="s">
        <v>456</v>
      </c>
    </row>
    <row r="10" spans="1:4" ht="71.25" x14ac:dyDescent="0.25">
      <c r="A10" s="4" t="s">
        <v>457</v>
      </c>
      <c r="B10" s="10">
        <f>SUMIFS(CoutsCloud[Cout mensuel (EUR)],CoutsCloud[Fournisseur],"Provider A",CoutsCloud[Scenario],"Economique")</f>
        <v>114</v>
      </c>
      <c r="C10" s="4" t="s">
        <v>83</v>
      </c>
      <c r="D10" s="4" t="s">
        <v>458</v>
      </c>
    </row>
    <row r="11" spans="1:4" ht="71.25" x14ac:dyDescent="0.25">
      <c r="A11" s="4" t="s">
        <v>459</v>
      </c>
      <c r="B11" s="10">
        <f>SUMIFS(CoutsCloud[Cout mensuel (EUR)],CoutsCloud[Fournisseur],"Provider A",CoutsCloud[Scenario],"Standard")</f>
        <v>171</v>
      </c>
      <c r="C11" s="4" t="s">
        <v>83</v>
      </c>
      <c r="D11" s="4" t="s">
        <v>458</v>
      </c>
    </row>
    <row r="12" spans="1:4" ht="71.25" x14ac:dyDescent="0.25">
      <c r="A12" s="4" t="s">
        <v>460</v>
      </c>
      <c r="B12" s="10">
        <f>SUMIFS(CoutsCloud[Cout mensuel (EUR)],CoutsCloud[Fournisseur],"Provider A",CoutsCloud[Scenario],"Resilient")</f>
        <v>240</v>
      </c>
      <c r="C12" s="4" t="s">
        <v>83</v>
      </c>
      <c r="D12" s="4" t="s">
        <v>458</v>
      </c>
    </row>
    <row r="13" spans="1:4" ht="71.25" x14ac:dyDescent="0.25">
      <c r="A13" s="4" t="s">
        <v>461</v>
      </c>
      <c r="B13" s="10">
        <f>SUMIFS(CoutsCloud[Cout mensuel (EUR)],CoutsCloud[Fournisseur],"Provider B",CoutsCloud[Scenario],"Economique")</f>
        <v>124</v>
      </c>
      <c r="C13" s="4" t="s">
        <v>83</v>
      </c>
      <c r="D13" s="4" t="s">
        <v>458</v>
      </c>
    </row>
    <row r="14" spans="1:4" ht="71.25" x14ac:dyDescent="0.25">
      <c r="A14" s="4" t="s">
        <v>462</v>
      </c>
      <c r="B14" s="10">
        <f>SUMIFS(CoutsCloud[Cout mensuel (EUR)],CoutsCloud[Fournisseur],"Provider B",CoutsCloud[Scenario],"Standard")</f>
        <v>186</v>
      </c>
      <c r="C14" s="4" t="s">
        <v>83</v>
      </c>
      <c r="D14" s="4" t="s">
        <v>458</v>
      </c>
    </row>
    <row r="15" spans="1:4" ht="71.25" x14ac:dyDescent="0.25">
      <c r="A15" s="4" t="s">
        <v>463</v>
      </c>
      <c r="B15" s="10">
        <f>SUMIFS(CoutsCloud[Cout mensuel (EUR)],CoutsCloud[Fournisseur],"Provider B",CoutsCloud[Scenario],"Resilient")</f>
        <v>260</v>
      </c>
      <c r="C15" s="4" t="s">
        <v>83</v>
      </c>
      <c r="D15" s="4" t="s">
        <v>458</v>
      </c>
    </row>
    <row r="16" spans="1:4" ht="71.25" x14ac:dyDescent="0.25">
      <c r="A16" s="4" t="s">
        <v>464</v>
      </c>
      <c r="B16" s="10">
        <f>SUMIFS(CoutsCloud[Cout mensuel (EUR)],CoutsCloud[Fournisseur],"Provider C",CoutsCloud[Scenario],"Economique")</f>
        <v>134</v>
      </c>
      <c r="C16" s="4" t="s">
        <v>83</v>
      </c>
      <c r="D16" s="4" t="s">
        <v>458</v>
      </c>
    </row>
    <row r="17" spans="1:4" ht="71.25" x14ac:dyDescent="0.25">
      <c r="A17" s="4" t="s">
        <v>465</v>
      </c>
      <c r="B17" s="10">
        <f>SUMIFS(CoutsCloud[Cout mensuel (EUR)],CoutsCloud[Fournisseur],"Provider C",CoutsCloud[Scenario],"Standard")</f>
        <v>201</v>
      </c>
      <c r="C17" s="4" t="s">
        <v>83</v>
      </c>
      <c r="D17" s="4" t="s">
        <v>458</v>
      </c>
    </row>
    <row r="18" spans="1:4" ht="71.25" x14ac:dyDescent="0.25">
      <c r="A18" s="4" t="s">
        <v>466</v>
      </c>
      <c r="B18" s="10">
        <f>SUMIFS(CoutsCloud[Cout mensuel (EUR)],CoutsCloud[Fournisseur],"Provider C",CoutsCloud[Scenario],"Resilient")</f>
        <v>280</v>
      </c>
      <c r="C18" s="4" t="s">
        <v>83</v>
      </c>
      <c r="D18" s="4" t="s">
        <v>458</v>
      </c>
    </row>
    <row r="19" spans="1:4" ht="142.5" x14ac:dyDescent="0.25">
      <c r="A19" s="4" t="s">
        <v>467</v>
      </c>
      <c r="B19" s="10" t="str">
        <f>IF(taux_journalier="","Bloque - taux journalier A chiffrer",IF(taux_journalier="A chiffrer","Bloque - taux journalier A chiffrer","Taux journalier renseigne - approbation non acquise"))</f>
        <v>Taux journalier renseigne - approbation non acquise</v>
      </c>
      <c r="C19" s="4" t="s">
        <v>468</v>
      </c>
      <c r="D19" s="4" t="s">
        <v>469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15</vt:i4>
      </vt:variant>
    </vt:vector>
  </HeadingPairs>
  <TitlesOfParts>
    <vt:vector size="27" baseType="lpstr">
      <vt:lpstr>00_Lisez-moi</vt:lpstr>
      <vt:lpstr>01_Hypotheses</vt:lpstr>
      <vt:lpstr>02_Inventaire</vt:lpstr>
      <vt:lpstr>03_Architecture</vt:lpstr>
      <vt:lpstr>04_Taches_JH</vt:lpstr>
      <vt:lpstr>05_Couts_cloud</vt:lpstr>
      <vt:lpstr>06_Scenarios</vt:lpstr>
      <vt:lpstr>07_Phasage</vt:lpstr>
      <vt:lpstr>08_Risques</vt:lpstr>
      <vt:lpstr>09_Arbitrages</vt:lpstr>
      <vt:lpstr>10_Sources</vt:lpstr>
      <vt:lpstr>11_Synthese</vt:lpstr>
      <vt:lpstr>'00_Lisez-moi'!Impression_des_titres</vt:lpstr>
      <vt:lpstr>'01_Hypotheses'!Impression_des_titres</vt:lpstr>
      <vt:lpstr>'02_Inventaire'!Impression_des_titres</vt:lpstr>
      <vt:lpstr>'03_Architecture'!Impression_des_titres</vt:lpstr>
      <vt:lpstr>'04_Taches_JH'!Impression_des_titres</vt:lpstr>
      <vt:lpstr>'05_Couts_cloud'!Impression_des_titres</vt:lpstr>
      <vt:lpstr>'06_Scenarios'!Impression_des_titres</vt:lpstr>
      <vt:lpstr>'07_Phasage'!Impression_des_titres</vt:lpstr>
      <vt:lpstr>'08_Risques'!Impression_des_titres</vt:lpstr>
      <vt:lpstr>'09_Arbitrages'!Impression_des_titres</vt:lpstr>
      <vt:lpstr>'10_Sources'!Impression_des_titres</vt:lpstr>
      <vt:lpstr>'11_Synthese'!Impression_des_titres</vt:lpstr>
      <vt:lpstr>mois_par_an</vt:lpstr>
      <vt:lpstr>scenario_global</vt:lpstr>
      <vt:lpstr>taux_journalier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synthetic estimate</dc:creator>
  <cp:lastModifiedBy>Public synthetic estimate</cp:lastModifiedBy>
  <dcterms:created xsi:type="dcterms:W3CDTF">2026-10-10T06:36:55Z</dcterms:created>
  <dcterms:modified xsi:type="dcterms:W3CDTF">2026-10-10T06:37:04Z</dcterms:modified>
</cp:coreProperties>
</file>